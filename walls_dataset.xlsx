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intable (M1) (CORRECTED)" sheetId="1" state="visible" r:id="rId3"/>
  </sheets>
  <definedNames>
    <definedName function="false" hidden="true" localSheetId="0" name="_xlnm._FilterDatabase" vbProcedure="false">'Maintable (M1) (CORRECTED)'!$A$1:$W$335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A5" authorId="0">
      <text>
        <r>
          <rPr>
            <sz val="10"/>
            <rFont val="Arial"/>
            <family val="2"/>
          </rPr>
          <t xml:space="preserve">Author:
Almost every information about these two specimens was erroneous. Many corrections were applied</t>
        </r>
      </text>
    </comment>
    <comment ref="A292" authorId="0">
      <text>
        <r>
          <rPr>
            <sz val="10"/>
            <rFont val="Arial"/>
            <family val="2"/>
          </rPr>
          <t xml:space="preserve">======
ID#AAAAJviLRGs
Yazar    (2020-07-05 18:02:42)
Data from University of Patras incompatible with the data from the paper. No other reference was found for controlling purposes</t>
        </r>
      </text>
    </comment>
    <comment ref="A294" authorId="0">
      <text>
        <r>
          <rPr>
            <sz val="10"/>
            <rFont val="Arial"/>
            <family val="2"/>
          </rPr>
          <t xml:space="preserve">======
ID#AAAAJviLRKE
Yazar    (2020-07-05 18:02:42)
Hysteretic curves are not proper for the project purposes.</t>
        </r>
      </text>
    </comment>
    <comment ref="A313" authorId="0">
      <text>
        <r>
          <rPr>
            <sz val="10"/>
            <rFont val="Arial"/>
            <family val="2"/>
          </rPr>
          <t xml:space="preserve">======
ID#AAAAJviLRJk
Yazar    (2020-07-05 18:02:42)
Axial Load varies throughout the test.</t>
        </r>
      </text>
    </comment>
    <comment ref="B42" authorId="0">
      <text>
        <r>
          <rPr>
            <sz val="10"/>
            <rFont val="Arial"/>
            <family val="2"/>
          </rPr>
          <t xml:space="preserve">======
ID#AAAAJviLRIE
Yazar    (2020-07-05 18:02:42)
Hysteretic curve is missing</t>
        </r>
      </text>
    </comment>
    <comment ref="B43" authorId="0">
      <text>
        <r>
          <rPr>
            <sz val="10"/>
            <rFont val="Arial"/>
            <family val="2"/>
          </rPr>
          <t xml:space="preserve">======
ID#AAAAJviLRLc
Yazar    (2020-07-05 18:02:42)
Hysteretic curve is missing</t>
        </r>
      </text>
    </comment>
    <comment ref="B44" authorId="0">
      <text>
        <r>
          <rPr>
            <sz val="10"/>
            <rFont val="Arial"/>
            <family val="2"/>
          </rPr>
          <t xml:space="preserve">======
ID#AAAAJviLRNM
Yazar    (2020-07-05 18:02:42)
Hysteretic curve is missing</t>
        </r>
      </text>
    </comment>
    <comment ref="B59" authorId="0">
      <text>
        <r>
          <rPr>
            <sz val="10"/>
            <rFont val="Arial"/>
            <family val="2"/>
          </rPr>
          <t xml:space="preserve">======
ID#AAAAJviLRH8
Yazar    (2020-07-05 18:02:42)
Attempt for digitising this specimen was unsuccessful</t>
        </r>
      </text>
    </comment>
    <comment ref="B63" authorId="0">
      <text>
        <r>
          <rPr>
            <sz val="10"/>
            <rFont val="Arial"/>
            <family val="2"/>
          </rPr>
          <t xml:space="preserve">======
ID#AAAAJviLRMI
Yazar    (2020-07-05 18:02:42)
Not proper for the research purposes because of varying axial load throughout the test</t>
        </r>
      </text>
    </comment>
    <comment ref="B64" authorId="0">
      <text>
        <r>
          <rPr>
            <sz val="10"/>
            <rFont val="Arial"/>
            <family val="2"/>
          </rPr>
          <t xml:space="preserve">======
ID#AAAAJviLRMs
Yazar    (2020-07-05 18:02:42)
Not proper for the research purposes because of varying axial load throughout the test</t>
        </r>
      </text>
    </comment>
    <comment ref="B88" authorId="0">
      <text>
        <r>
          <rPr>
            <sz val="10"/>
            <rFont val="Arial"/>
            <family val="2"/>
          </rPr>
          <t xml:space="preserve">======
ID#AAAAJviLRGA
Yazar    (2020-07-05 18:02:42)
%1 drift ratio criterion is not fulfilled.</t>
        </r>
      </text>
    </comment>
    <comment ref="B89" authorId="0">
      <text>
        <r>
          <rPr>
            <sz val="10"/>
            <rFont val="Arial"/>
            <family val="2"/>
          </rPr>
          <t xml:space="preserve">======
ID#AAAAJviLRNo
Yazar    (2020-07-05 18:02:42)
%1 drift ratio criterion is not fulfilled.</t>
        </r>
      </text>
    </comment>
    <comment ref="B90" authorId="0">
      <text>
        <r>
          <rPr>
            <sz val="10"/>
            <rFont val="Arial"/>
            <family val="2"/>
          </rPr>
          <t xml:space="preserve">======
ID#AAAAJviLRKM
Yazar    (2020-07-05 18:02:42)
%1 drift ratio criterion is not fulfilled.</t>
        </r>
      </text>
    </comment>
    <comment ref="B91" authorId="0">
      <text>
        <r>
          <rPr>
            <sz val="10"/>
            <rFont val="Arial"/>
            <family val="2"/>
          </rPr>
          <t xml:space="preserve">======
ID#AAAAJviLRMg
Yazar    (2020-07-05 18:02:42)
%1 drift ratio criterion is not fulfilled.</t>
        </r>
      </text>
    </comment>
    <comment ref="B92" authorId="0">
      <text>
        <r>
          <rPr>
            <sz val="10"/>
            <rFont val="Arial"/>
            <family val="2"/>
          </rPr>
          <t xml:space="preserve">======
ID#AAAAJviLRGI
Yazar    (2020-07-05 18:02:42)
%1 drift ratio criterion is not fulfilled.</t>
        </r>
      </text>
    </comment>
    <comment ref="B93" authorId="0">
      <text>
        <r>
          <rPr>
            <sz val="10"/>
            <rFont val="Arial"/>
            <family val="2"/>
          </rPr>
          <t xml:space="preserve">======
ID#AAAAJviLROU
Yazar    (2020-07-05 18:02:42)
%1 drift ratio criterion is not fulfilled.</t>
        </r>
      </text>
    </comment>
    <comment ref="B94" authorId="0">
      <text>
        <r>
          <rPr>
            <sz val="10"/>
            <rFont val="Arial"/>
            <family val="2"/>
          </rPr>
          <t xml:space="preserve">======
ID#AAAAJviLRM8
Yazar    (2020-07-05 18:02:42)
%1 drift ratio criterion is not fulfilled.</t>
        </r>
      </text>
    </comment>
    <comment ref="B109" authorId="0">
      <text>
        <r>
          <rPr>
            <sz val="10"/>
            <rFont val="Arial"/>
            <family val="2"/>
          </rPr>
          <t xml:space="preserve">======
ID#AAAAJviLRI0
Yazar    (2020-07-05 18:02:42)
%1 drift ratio criterion is not fulfilled.</t>
        </r>
      </text>
    </comment>
    <comment ref="B110" authorId="0">
      <text>
        <r>
          <rPr>
            <sz val="10"/>
            <rFont val="Arial"/>
            <family val="2"/>
          </rPr>
          <t xml:space="preserve">======
ID#AAAAJviLRGk
Yazar    (2020-07-05 18:02:42)
%1 drift ratio criterion is not fulfilled.</t>
        </r>
      </text>
    </comment>
    <comment ref="B111" authorId="0">
      <text>
        <r>
          <rPr>
            <sz val="10"/>
            <rFont val="Arial"/>
            <family val="2"/>
          </rPr>
          <t xml:space="preserve">======
ID#AAAAJviLRIs
Yazar    (2020-07-05 18:02:42)
Hysteretic curves for specimens NO.1 to NO.8 not available
only the backbone curves are available.</t>
        </r>
      </text>
    </comment>
    <comment ref="B113" authorId="0">
      <text>
        <r>
          <rPr>
            <sz val="10"/>
            <rFont val="Arial"/>
            <family val="2"/>
          </rPr>
          <t xml:space="preserve">======
ID#AAAAJviLRF0
Yazar    (2020-07-05 18:02:42)
drift ratio criterion is not fulfilled.</t>
        </r>
      </text>
    </comment>
    <comment ref="B118" authorId="0">
      <text>
        <r>
          <rPr>
            <sz val="10"/>
            <rFont val="Arial"/>
            <family val="2"/>
          </rPr>
          <t xml:space="preserve">======
ID#AAAAJviLRFs
Yazar    (2020-07-05 18:02:42)
Hysteretic curves for specimens NO.1 to NO.8 not available</t>
        </r>
      </text>
    </comment>
    <comment ref="B122" authorId="0">
      <text>
        <r>
          <rPr>
            <sz val="10"/>
            <rFont val="Arial"/>
            <family val="2"/>
          </rPr>
          <t xml:space="preserve">======
ID#AAAAJviLRGM
Yazar    (2020-07-05 18:02:42)
%1 Drift Ratio criterion is not fulfilled.</t>
        </r>
      </text>
    </comment>
    <comment ref="B123" authorId="0">
      <text>
        <r>
          <rPr>
            <sz val="10"/>
            <rFont val="Arial"/>
            <family val="2"/>
          </rPr>
          <t xml:space="preserve">======
ID#AAAAJviLRLk
Yazar    (2020-07-05 18:02:42)
%1 Drift Ratio criterion is not fulfilled.</t>
        </r>
      </text>
    </comment>
    <comment ref="B125" authorId="0">
      <text>
        <r>
          <rPr>
            <sz val="10"/>
            <rFont val="Arial"/>
            <family val="2"/>
          </rPr>
          <t xml:space="preserve">======
ID#AAAAJviLROs
Yazar    (2020-07-05 18:02:42)
%1 drift ratio criterion is not fulfilled.</t>
        </r>
      </text>
    </comment>
    <comment ref="B135" authorId="0">
      <text>
        <r>
          <rPr>
            <sz val="10"/>
            <rFont val="Arial"/>
            <family val="2"/>
          </rPr>
          <t xml:space="preserve">======
ID#AAAAJviLROo
Yazar    (2020-07-05 18:02:42)
%1 drift ratio criterion is not fulfilled.</t>
        </r>
      </text>
    </comment>
    <comment ref="B136" authorId="0">
      <text>
        <r>
          <rPr>
            <sz val="10"/>
            <rFont val="Arial"/>
            <family val="2"/>
          </rPr>
          <t xml:space="preserve">======
ID#AAAAJviLRKY
Yazar    (2020-07-05 18:02:42)
%1 drift ratio criterion is not fulfilled.</t>
        </r>
      </text>
    </comment>
    <comment ref="B137" authorId="0">
      <text>
        <r>
          <rPr>
            <sz val="10"/>
            <rFont val="Arial"/>
            <family val="2"/>
          </rPr>
          <t xml:space="preserve">======
ID#AAAAJviLRH4
Yazar    (2020-07-05 18:02:42)
%1 drift ratio criterion is not fulfilled.</t>
        </r>
      </text>
    </comment>
    <comment ref="B139" authorId="0">
      <text>
        <r>
          <rPr>
            <sz val="10"/>
            <rFont val="Arial"/>
            <family val="2"/>
          </rPr>
          <t xml:space="preserve">======
ID#AAAAJviLRN8
Yazar    (2020-07-05 18:02:42)
%1 drift ratio criterion is not fulfilled.</t>
        </r>
      </text>
    </comment>
    <comment ref="B145" authorId="0">
      <text>
        <r>
          <rPr>
            <sz val="10"/>
            <rFont val="Arial"/>
            <family val="2"/>
          </rPr>
          <t xml:space="preserve">======
ID#AAAAJviLROw
Yazar    (2020-07-05 18:02:42)
%1 drift ratio criterion is not fulfilled.</t>
        </r>
      </text>
    </comment>
    <comment ref="B174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175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177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178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180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181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182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183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185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186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188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191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192" authorId="0">
      <text>
        <r>
          <rPr>
            <sz val="10"/>
            <rFont val="Arial"/>
            <family val="2"/>
          </rPr>
          <t xml:space="preserve">======
ID#AAAAJviLRJ0
Yazar    (2020-07-05 18:02:42)
The hysteretic curve is not appropriate for the research purposes</t>
        </r>
      </text>
    </comment>
    <comment ref="B203" authorId="0">
      <text>
        <r>
          <rPr>
            <sz val="10"/>
            <rFont val="Arial"/>
            <family val="2"/>
          </rPr>
          <t xml:space="preserve">======
ID#AAAAJviLRNc
Yazar    (2020-07-05 18:02:42)
NOT PROPER for 1% drift ratio studies but, PROPER for cumulative energy studies</t>
        </r>
      </text>
    </comment>
    <comment ref="B204" authorId="0">
      <text>
        <r>
          <rPr>
            <sz val="10"/>
            <rFont val="Arial"/>
            <family val="2"/>
          </rPr>
          <t xml:space="preserve">======
ID#AAAAJviLRJE
Yazar    (2020-07-05 18:02:42)
NOT PROPER for 1% drift ratio studies but, PROPER for cumulative energy studies</t>
        </r>
      </text>
    </comment>
    <comment ref="B207" authorId="0">
      <text>
        <r>
          <rPr>
            <sz val="10"/>
            <rFont val="Arial"/>
            <family val="2"/>
          </rPr>
          <t xml:space="preserve">======
ID#AAAAJviLRMM
Yazar    (2020-07-05 18:02:42)
%1 drift ratio criterion is not fulfilled.</t>
        </r>
      </text>
    </comment>
    <comment ref="B208" authorId="0">
      <text>
        <r>
          <rPr>
            <sz val="10"/>
            <rFont val="Arial"/>
            <family val="2"/>
          </rPr>
          <t xml:space="preserve">======
ID#AAAAJviLRMM
Yazar    (2020-07-05 18:02:42)
%1 drift ratio criterion is not fulfilled.</t>
        </r>
      </text>
    </comment>
    <comment ref="B209" authorId="0">
      <text>
        <r>
          <rPr>
            <sz val="10"/>
            <rFont val="Arial"/>
            <family val="2"/>
          </rPr>
          <t xml:space="preserve">======
ID#AAAAJviLRHc
Yazar    (2020-07-05 18:02:42)
%1 drift ratio criterion is not fulfilled.</t>
        </r>
      </text>
    </comment>
    <comment ref="B225" authorId="0">
      <text>
        <r>
          <rPr>
            <sz val="10"/>
            <rFont val="Arial"/>
            <family val="2"/>
          </rPr>
          <t xml:space="preserve">======
ID#AAAAJviLRHg
Yazar    (2020-07-05 18:02:42)
%1 drift ratio criterion is not fulfilled.</t>
        </r>
      </text>
    </comment>
    <comment ref="B226" authorId="0">
      <text>
        <r>
          <rPr>
            <sz val="10"/>
            <rFont val="Arial"/>
            <family val="2"/>
          </rPr>
          <t xml:space="preserve">======
ID#AAAAJviLRLY
Yazar    (2020-07-05 18:02:42)
%1 drift ratio criterion is not fulfilled.</t>
        </r>
      </text>
    </comment>
    <comment ref="B227" authorId="0">
      <text>
        <r>
          <rPr>
            <sz val="10"/>
            <rFont val="Arial"/>
            <family val="2"/>
          </rPr>
          <t xml:space="preserve">======
ID#AAAAJviLRFk
Yazar    (2020-07-05 18:02:42)
%1 drift ratio criterion is not fulfilled.</t>
        </r>
      </text>
    </comment>
    <comment ref="B228" authorId="0">
      <text>
        <r>
          <rPr>
            <sz val="10"/>
            <rFont val="Arial"/>
            <family val="2"/>
          </rPr>
          <t xml:space="preserve">======
ID#AAAAJviLRNk
Yazar    (2020-07-05 18:02:42)
%1 drift ratio criterion is not fulfilled.</t>
        </r>
      </text>
    </comment>
    <comment ref="B229" authorId="0">
      <text>
        <r>
          <rPr>
            <sz val="10"/>
            <rFont val="Arial"/>
            <family val="2"/>
          </rPr>
          <t xml:space="preserve">Author:
Hysteretis curve not available</t>
        </r>
      </text>
    </comment>
    <comment ref="B230" authorId="0">
      <text>
        <r>
          <rPr>
            <sz val="10"/>
            <rFont val="Arial"/>
            <family val="2"/>
          </rPr>
          <t xml:space="preserve">======
ID#AAAAJviLRLQ
Yazar    (2020-07-05 18:02:42)
%1 drift ratio criterion is not fulfilled.</t>
        </r>
      </text>
    </comment>
    <comment ref="B237" authorId="0">
      <text>
        <r>
          <rPr>
            <sz val="10"/>
            <rFont val="Arial"/>
            <family val="2"/>
          </rPr>
          <t xml:space="preserve">======
ID#AAAAJviLRFw
Yazar    (2020-07-05 18:02:42)
%1 drift ratio criterion is not fulfilled.</t>
        </r>
      </text>
    </comment>
    <comment ref="B238" authorId="0">
      <text>
        <r>
          <rPr>
            <sz val="10"/>
            <rFont val="Arial"/>
            <family val="2"/>
          </rPr>
          <t xml:space="preserve">======
ID#AAAAJviLRHs
Yazar    (2020-07-05 18:02:42)
%1 drift ratio criterion is not fulfilled.</t>
        </r>
      </text>
    </comment>
    <comment ref="B239" authorId="0">
      <text>
        <r>
          <rPr>
            <sz val="10"/>
            <rFont val="Arial"/>
            <family val="2"/>
          </rPr>
          <t xml:space="preserve">======
ID#AAAAJviLRJo
Yazar    (2020-07-05 18:02:42)
%1 drift ratio criterion is not fulfilled.</t>
        </r>
      </text>
    </comment>
    <comment ref="B240" authorId="0">
      <text>
        <r>
          <rPr>
            <sz val="10"/>
            <rFont val="Arial"/>
            <family val="2"/>
          </rPr>
          <t xml:space="preserve">======
ID#AAAAJviLRME
Yazar    (2020-07-05 18:02:42)
%1 drift ratio criterion is not fulfilled.</t>
        </r>
      </text>
    </comment>
    <comment ref="B248" authorId="0">
      <text>
        <r>
          <rPr>
            <sz val="10"/>
            <rFont val="Arial"/>
            <family val="2"/>
          </rPr>
          <t xml:space="preserve">======
ID#AAAAJviLRIA
Yazar    (2020-07-05 18:02:42)
%1 drift ratio criterion is not fulfilled.</t>
        </r>
      </text>
    </comment>
    <comment ref="B249" authorId="0">
      <text>
        <r>
          <rPr>
            <sz val="10"/>
            <rFont val="Arial"/>
            <family val="2"/>
          </rPr>
          <t xml:space="preserve">======
ID#AAAAJviLRM4
Yazar    (2020-07-05 18:02:42)
%1 drift ratio criterion is not fulfilled.</t>
        </r>
      </text>
    </comment>
    <comment ref="B250" authorId="0">
      <text>
        <r>
          <rPr>
            <sz val="10"/>
            <rFont val="Arial"/>
            <family val="2"/>
          </rPr>
          <t xml:space="preserve">======
ID#AAAAJviLRLo
Yazar    (2020-07-05 18:02:42)
%1 drift ratio criterion is not fulfilled.</t>
        </r>
      </text>
    </comment>
    <comment ref="B252" authorId="0">
      <text>
        <r>
          <rPr>
            <sz val="10"/>
            <rFont val="Arial"/>
            <family val="2"/>
          </rPr>
          <t xml:space="preserve">Author:
Specimens recognised with "H" are subjected to bilateral out of plane loading and probably should not be used in the current study where specimens subjected to uni-lateral loadings are of interest</t>
        </r>
      </text>
    </comment>
    <comment ref="B253" authorId="0">
      <text>
        <r>
          <rPr>
            <sz val="10"/>
            <rFont val="Arial"/>
            <family val="2"/>
          </rPr>
          <t xml:space="preserve">Author:
Specimens recognised with "H" are subjected to bilateral out of plane loading and probably should not be used in the current study where specimens subjected to uni-lateral loadings are of interest</t>
        </r>
      </text>
    </comment>
    <comment ref="B254" authorId="0">
      <text>
        <r>
          <rPr>
            <sz val="10"/>
            <rFont val="Arial"/>
            <family val="2"/>
          </rPr>
          <t xml:space="preserve">Author:
Specimens recognised with "H" are subjected to bilateral out of plane loading and probably should not be used in the current study where specimens subjected to uni-lateral loadings are of interest</t>
        </r>
      </text>
    </comment>
    <comment ref="B255" authorId="0">
      <text>
        <r>
          <rPr>
            <sz val="10"/>
            <rFont val="Arial"/>
            <family val="2"/>
          </rPr>
          <t xml:space="preserve">Author:
Specimens recognised with "H" are subjected to bilateral out of plane loading and probably should not be used in the current study where specimens subjected to uni-lateral loadings are of interest</t>
        </r>
      </text>
    </comment>
    <comment ref="B256" authorId="0">
      <text>
        <r>
          <rPr>
            <sz val="10"/>
            <rFont val="Arial"/>
            <family val="2"/>
          </rPr>
          <t xml:space="preserve">======
ID#AAAAJviLRO8
Yazar    (2020-07-05 18:02:42)
Specimens T2-S1 and T2-S2 (at the bottom of the inventory) differed in
terms of anchorage conditions of horizontal web reinforcement:
Specimen T2-S1 had U-cap hooks at the ends of the horizontal web bars,
while specimen T2-S2, as well as all other specimens, had 180° hooks at
the end of the horizontal bars. So, T2-S1 specimen is not used.</t>
        </r>
      </text>
    </comment>
    <comment ref="B268" authorId="0">
      <text>
        <r>
          <rPr>
            <sz val="10"/>
            <rFont val="Arial"/>
            <family val="2"/>
          </rPr>
          <t xml:space="preserve">======
ID#AAAAJviLRKg
Yazar    (2020-07-05 18:02:42)
Yazar
Hysteretic curve only available for the push side (identified as not appropriate for the project purposes)</t>
        </r>
      </text>
    </comment>
    <comment ref="B282" authorId="0">
      <text>
        <r>
          <rPr>
            <sz val="10"/>
            <rFont val="Arial"/>
            <family val="2"/>
          </rPr>
          <t xml:space="preserve">======
ID#AAAAJviLRJc
Yazar    (2020-07-05 18:02:42)
%1 Drift Ratio criterion is not fulfilled.</t>
        </r>
      </text>
    </comment>
    <comment ref="B283" authorId="0">
      <text>
        <r>
          <rPr>
            <sz val="10"/>
            <rFont val="Arial"/>
            <family val="2"/>
          </rPr>
          <t xml:space="preserve">======
ID#AAAAJviLROM
Yazar    (2020-07-05 18:02:42)
%1 Drift Ratio criterion is not fulfilled.</t>
        </r>
      </text>
    </comment>
    <comment ref="B286" authorId="0">
      <text>
        <r>
          <rPr>
            <sz val="10"/>
            <rFont val="Arial"/>
            <family val="2"/>
          </rPr>
          <t xml:space="preserve">======
ID#AAAAJviLROQ
Yazar    (2020-07-05 18:02:42)
%1 Drift Ratio criterion is not fulfilled.</t>
        </r>
      </text>
    </comment>
    <comment ref="B287" authorId="0">
      <text>
        <r>
          <rPr>
            <sz val="10"/>
            <rFont val="Arial"/>
            <family val="2"/>
          </rPr>
          <t xml:space="preserve">======
ID#AAAAJviLRNQ
Yazar    (2020-07-05 18:02:42)
%1 Drift Ratio criterion is not fulfilled.</t>
        </r>
      </text>
    </comment>
    <comment ref="B288" authorId="0">
      <text>
        <r>
          <rPr>
            <sz val="10"/>
            <rFont val="Arial"/>
            <family val="2"/>
          </rPr>
          <t xml:space="preserve">======
ID#AAAAJviLRHM
Yazar    (2020-07-05 18:02:42)
%1 Drift Ratio criterion is not fulfilled.</t>
        </r>
      </text>
    </comment>
    <comment ref="B289" authorId="0">
      <text>
        <r>
          <rPr>
            <sz val="10"/>
            <rFont val="Arial"/>
            <family val="2"/>
          </rPr>
          <t xml:space="preserve">======
ID#AAAAJviLRKU
Yazar    (2020-07-05 18:02:42)
%1 Drift Ratio criterion is not fulfilled.</t>
        </r>
      </text>
    </comment>
    <comment ref="B290" authorId="0">
      <text>
        <r>
          <rPr>
            <sz val="10"/>
            <rFont val="Arial"/>
            <family val="2"/>
          </rPr>
          <t xml:space="preserve">======
ID#AAAAJviLRKc
Yazar    (2020-07-05 18:02:42)
1% Drift Ratio'ya ulaşamamıştır.</t>
        </r>
      </text>
    </comment>
    <comment ref="B291" authorId="0">
      <text>
        <r>
          <rPr>
            <sz val="10"/>
            <rFont val="Arial"/>
            <family val="2"/>
          </rPr>
          <t xml:space="preserve">======
ID#AAAAJviLRL4
Yazar    (2020-07-05 18:02:42)
%1 Drift Ratio criterion is not fulfilled.</t>
        </r>
      </text>
    </comment>
    <comment ref="B324" authorId="0">
      <text>
        <r>
          <rPr>
            <sz val="10"/>
            <rFont val="Arial"/>
            <family val="2"/>
          </rPr>
          <t xml:space="preserve">======
ID#AAAAJviLRHU
Yazar    (2020-07-05 18:02:42)
Two 10 &amp; 7 storey frames with shear walls were tested. Not appropriate for the project purposes</t>
        </r>
      </text>
    </comment>
    <comment ref="B326" authorId="0">
      <text>
        <r>
          <rPr>
            <sz val="10"/>
            <rFont val="Arial"/>
            <family val="2"/>
          </rPr>
          <t xml:space="preserve">======
ID#AAAAJviLRHw
Yazar    (2020-07-05 18:02:42)
%1 Drift Ratio criterion is not fulfilled.</t>
        </r>
      </text>
    </comment>
    <comment ref="B327" authorId="0">
      <text>
        <r>
          <rPr>
            <sz val="10"/>
            <rFont val="Arial"/>
            <family val="2"/>
          </rPr>
          <t xml:space="preserve">======
ID#AAAAJviLRJQ
Yazar    (2020-07-05 18:02:42)
%1 Drift Ratio criterion is not fulfilled.</t>
        </r>
      </text>
    </comment>
    <comment ref="B328" authorId="0">
      <text>
        <r>
          <rPr>
            <sz val="10"/>
            <rFont val="Arial"/>
            <family val="2"/>
          </rPr>
          <t xml:space="preserve">======
ID#AAAAJviLRHE
Yazar    (2020-07-05 18:02:42)
Specimens T2-S1 and T2-S2 differed in
terms of anchorage conditions of horizontal web reinforcement:
Specimen T2-S1 had U-cap hooks at the ends of the horizontal web bars,
while specimen T2-S2, as well as all other specimens, had 180° hooks at
the end of the horizontal bars</t>
        </r>
      </text>
    </comment>
    <comment ref="B329" authorId="0">
      <text>
        <r>
          <rPr>
            <sz val="10"/>
            <rFont val="Arial"/>
            <family val="2"/>
          </rPr>
          <t xml:space="preserve">======
ID#AAAAJviLRGw
Yazar    (2020-07-05 18:02:42)
%1 drift ratio criterion is not fulfilled.</t>
        </r>
      </text>
    </comment>
    <comment ref="B330" authorId="0">
      <text>
        <r>
          <rPr>
            <sz val="10"/>
            <rFont val="Arial"/>
            <family val="2"/>
          </rPr>
          <t xml:space="preserve">======
ID#AAAAJviLRJA
Yazar    (2020-07-05 18:02:42)
%1 drift ratio criterion is not fulfilled.</t>
        </r>
      </text>
    </comment>
    <comment ref="B331" authorId="0">
      <text>
        <r>
          <rPr>
            <sz val="10"/>
            <rFont val="Arial"/>
            <family val="2"/>
          </rPr>
          <t xml:space="preserve">======
ID#AAAAJviLRMw
Yazar    (2020-07-05 18:02:42)
Hysteretic curve not available</t>
        </r>
      </text>
    </comment>
    <comment ref="B332" authorId="0">
      <text>
        <r>
          <rPr>
            <sz val="10"/>
            <rFont val="Arial"/>
            <family val="2"/>
          </rPr>
          <t xml:space="preserve">======
ID#AAAAJviLRHI
Yazar    (2020-07-05 18:02:42)
Hysteretic curve and backbone curve not available</t>
        </r>
      </text>
    </comment>
    <comment ref="B333" authorId="0">
      <text>
        <r>
          <rPr>
            <sz val="10"/>
            <rFont val="Arial"/>
            <family val="2"/>
          </rPr>
          <t xml:space="preserve">======
ID#AAAAJviLRNY
Yazar    (2020-07-05 18:02:42)
Hysteretic curve and backbone curve not available</t>
        </r>
      </text>
    </comment>
    <comment ref="B334" authorId="0">
      <text>
        <r>
          <rPr>
            <sz val="10"/>
            <rFont val="Arial"/>
            <family val="2"/>
          </rPr>
          <t xml:space="preserve">======
ID#AAAAJviLRFo
Yazar    (2020-07-05 18:02:42)
Hysteretic curves for specimens W48M6, W48M4, W72M8, W96M8 not available</t>
        </r>
      </text>
    </comment>
    <comment ref="B335" authorId="0">
      <text>
        <r>
          <rPr>
            <sz val="10"/>
            <rFont val="Arial"/>
            <family val="2"/>
          </rPr>
          <t xml:space="preserve">======
ID#AAAAJviLRHA
Yazar    (2020-07-05 18:02:42)
Hysteretic curves for specimens W48M6, W48M4, W72M8, W96M8 not available</t>
        </r>
      </text>
    </comment>
    <comment ref="H1" authorId="0">
      <text>
        <r>
          <rPr>
            <sz val="10"/>
            <rFont val="Arial"/>
            <family val="2"/>
          </rPr>
          <t xml:space="preserve">======
ID#AAAAJviLRGY
Siamak    (2020-07-05 18:02:42)
1:Rectengular
2:Barbell
3:Flanged</t>
        </r>
      </text>
    </comment>
    <comment ref="I1" authorId="0">
      <text>
        <r>
          <rPr>
            <sz val="10"/>
            <rFont val="Arial"/>
            <family val="2"/>
          </rPr>
          <t xml:space="preserve">======
ID#AAAAJviLRI8
Yazar    (2020-07-05 18:02:42)
Failure Type:
0:Not failed
1: Shear
2: Mix
3: Flexural</t>
        </r>
      </text>
    </comment>
    <comment ref="I232" authorId="0">
      <text>
        <r>
          <rPr>
            <sz val="10"/>
            <rFont val="Arial"/>
            <family val="2"/>
          </rPr>
          <t xml:space="preserve">Author:
Sliding shear (pp. 23)</t>
        </r>
      </text>
    </comment>
    <comment ref="J1" authorId="0">
      <text>
        <r>
          <rPr>
            <sz val="10"/>
            <rFont val="Arial"/>
            <family val="2"/>
          </rPr>
          <t xml:space="preserve">======
ID#AAAAJviLRJI
Yazar    (2020-07-05 18:02:42)
Curvature Type:
1: Single curvature
2: Double curvature</t>
        </r>
      </text>
    </comment>
    <comment ref="M81" authorId="0">
      <text>
        <r>
          <rPr>
            <sz val="10"/>
            <rFont val="Arial"/>
            <family val="2"/>
          </rPr>
          <t xml:space="preserve">Author:
Cited from Sengupta &amp; Li (2014) due to insufficient information in the main reference (Hidalgo et al, 2002)</t>
        </r>
      </text>
    </comment>
    <comment ref="M82" authorId="0">
      <text>
        <r>
          <rPr>
            <sz val="10"/>
            <rFont val="Arial"/>
            <family val="2"/>
          </rPr>
          <t xml:space="preserve">Author:
Cited from Sengupta &amp; Li (2014) due to insufficient information in the main reference (Hidalgo et al, 2002)</t>
        </r>
      </text>
    </comment>
    <comment ref="M83" authorId="0">
      <text>
        <r>
          <rPr>
            <sz val="10"/>
            <rFont val="Arial"/>
            <family val="2"/>
          </rPr>
          <t xml:space="preserve">Author:
Cited from Sengupta &amp; Li (2014) due to insufficient information in the main reference (Hidalgo et al, 2002)</t>
        </r>
      </text>
    </comment>
    <comment ref="M84" authorId="0">
      <text>
        <r>
          <rPr>
            <sz val="10"/>
            <rFont val="Arial"/>
            <family val="2"/>
          </rPr>
          <t xml:space="preserve">Author:
Cited from Sengupta &amp; Li (2014) due to insufficient information in the main reference (Hidalgo et al, 2002)</t>
        </r>
      </text>
    </comment>
    <comment ref="M85" authorId="0">
      <text>
        <r>
          <rPr>
            <sz val="10"/>
            <rFont val="Arial"/>
            <family val="2"/>
          </rPr>
          <t xml:space="preserve">Author:
Cited from Sengupta &amp; Li (2014) due to insufficient information in the main reference (Hidalgo et al, 2002)</t>
        </r>
      </text>
    </comment>
    <comment ref="M86" authorId="0">
      <text>
        <r>
          <rPr>
            <sz val="10"/>
            <rFont val="Arial"/>
            <family val="2"/>
          </rPr>
          <t xml:space="preserve">Author:
Cited from Sengupta &amp; Li (2014) due to insufficient information in the main reference (Hidalgo et al, 2002)</t>
        </r>
      </text>
    </comment>
    <comment ref="M87" authorId="0">
      <text>
        <r>
          <rPr>
            <sz val="10"/>
            <rFont val="Arial"/>
            <family val="2"/>
          </rPr>
          <t xml:space="preserve">Author:
Cited from Sengupta &amp; Li (2014) due to insufficient information in the main reference (Hidalgo et al, 2002)</t>
        </r>
      </text>
    </comment>
    <comment ref="M237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M238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M239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M240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M241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M242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M243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O214" authorId="0">
      <text>
        <r>
          <rPr>
            <sz val="10"/>
            <rFont val="Arial"/>
            <family val="2"/>
          </rPr>
          <t xml:space="preserve">Author:
Was modified as a result of change in legs No.</t>
        </r>
      </text>
    </comment>
    <comment ref="O217" authorId="0">
      <text>
        <r>
          <rPr>
            <sz val="10"/>
            <rFont val="Arial"/>
            <family val="2"/>
          </rPr>
          <t xml:space="preserve">Author:
Was modified as a result of change in legs No.</t>
        </r>
      </text>
    </comment>
    <comment ref="O237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O238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O239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O240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O241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O242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O243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O251" authorId="0">
      <text>
        <r>
          <rPr>
            <sz val="10"/>
            <rFont val="Arial"/>
            <family val="2"/>
          </rPr>
          <t xml:space="preserve">Author:
steel ratio was rectified as a result of correcting leg numbers</t>
        </r>
      </text>
    </comment>
    <comment ref="O252" authorId="0">
      <text>
        <r>
          <rPr>
            <sz val="10"/>
            <rFont val="Arial"/>
            <family val="2"/>
          </rPr>
          <t xml:space="preserve">Author:
steel ratio was rectified as a result of correcting leg numbers</t>
        </r>
      </text>
    </comment>
    <comment ref="O254" authorId="0">
      <text>
        <r>
          <rPr>
            <sz val="10"/>
            <rFont val="Arial"/>
            <family val="2"/>
          </rPr>
          <t xml:space="preserve">Author:
steel ratio was rectified as a result of correcting leg numbers</t>
        </r>
      </text>
    </comment>
    <comment ref="O255" authorId="0">
      <text>
        <r>
          <rPr>
            <sz val="10"/>
            <rFont val="Arial"/>
            <family val="2"/>
          </rPr>
          <t xml:space="preserve">Author:
steel ratio was rectified as a result of correcting leg numbers</t>
        </r>
      </text>
    </comment>
    <comment ref="O269" authorId="0">
      <text>
        <r>
          <rPr>
            <sz val="10"/>
            <rFont val="Arial"/>
            <family val="2"/>
          </rPr>
          <t xml:space="preserve">Author:
Slightly changed as s was modified</t>
        </r>
      </text>
    </comment>
    <comment ref="O270" authorId="0">
      <text>
        <r>
          <rPr>
            <sz val="10"/>
            <rFont val="Arial"/>
            <family val="2"/>
          </rPr>
          <t xml:space="preserve">Author:
Slightly changed as s was modified</t>
        </r>
      </text>
    </comment>
    <comment ref="O271" authorId="0">
      <text>
        <r>
          <rPr>
            <sz val="10"/>
            <rFont val="Arial"/>
            <family val="2"/>
          </rPr>
          <t xml:space="preserve">Author:
Slightly changed as s was modified</t>
        </r>
      </text>
    </comment>
    <comment ref="O272" authorId="0">
      <text>
        <r>
          <rPr>
            <sz val="10"/>
            <rFont val="Arial"/>
            <family val="2"/>
          </rPr>
          <t xml:space="preserve">Author:
Slightly changed as s was modified</t>
        </r>
      </text>
    </comment>
    <comment ref="O273" authorId="0">
      <text>
        <r>
          <rPr>
            <sz val="10"/>
            <rFont val="Arial"/>
            <family val="2"/>
          </rPr>
          <t xml:space="preserve">Author:
Slightly changed as s was modified</t>
        </r>
      </text>
    </comment>
    <comment ref="P237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P238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P239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P240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P241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P242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P243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R6" authorId="0">
      <text>
        <r>
          <rPr>
            <sz val="10"/>
            <rFont val="Arial"/>
            <family val="2"/>
          </rPr>
          <t xml:space="preserve">Author:
it changed from %0.74 to %0.60</t>
        </r>
      </text>
    </comment>
    <comment ref="R211" authorId="0">
      <text>
        <r>
          <rPr>
            <sz val="10"/>
            <rFont val="Arial"/>
            <family val="2"/>
          </rPr>
          <t xml:space="preserve">Author:
Corrected from 0.54 to 0.66</t>
        </r>
      </text>
    </comment>
    <comment ref="R212" authorId="0">
      <text>
        <r>
          <rPr>
            <sz val="10"/>
            <rFont val="Arial"/>
            <family val="2"/>
          </rPr>
          <t xml:space="preserve">Author:
Corrected from 0.54 to 0.66</t>
        </r>
      </text>
    </comment>
    <comment ref="R213" authorId="0">
      <text>
        <r>
          <rPr>
            <sz val="10"/>
            <rFont val="Arial"/>
            <family val="2"/>
          </rPr>
          <t xml:space="preserve">Author:
Corrected from 0.54 to 0.66</t>
        </r>
      </text>
    </comment>
    <comment ref="R214" authorId="0">
      <text>
        <r>
          <rPr>
            <sz val="10"/>
            <rFont val="Arial"/>
            <family val="2"/>
          </rPr>
          <t xml:space="preserve">Author:
Corrected from 0.88 to 0.52</t>
        </r>
      </text>
    </comment>
    <comment ref="R220" authorId="0">
      <text>
        <r>
          <rPr>
            <sz val="10"/>
            <rFont val="Arial"/>
            <family val="2"/>
          </rPr>
          <t xml:space="preserve">Author:
ρl was rectified as a result of correcting distance between Long. Rebars.</t>
        </r>
      </text>
    </comment>
    <comment ref="R235" authorId="0">
      <text>
        <r>
          <rPr>
            <sz val="10"/>
            <rFont val="Arial"/>
            <family val="2"/>
          </rPr>
          <t xml:space="preserve">Author:
Boundary region is assumed not to exist. Consequently, long. steel ratio in the web region is modified.</t>
        </r>
      </text>
    </comment>
    <comment ref="R236" authorId="0">
      <text>
        <r>
          <rPr>
            <sz val="10"/>
            <rFont val="Arial"/>
            <family val="2"/>
          </rPr>
          <t xml:space="preserve">Author:
Boundary region is assumed not to exist. Consequently, long. steel ratio in the web region is modified.</t>
        </r>
      </text>
    </comment>
    <comment ref="R237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R238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R239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R240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R241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R242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R243" authorId="0">
      <text>
        <r>
          <rPr>
            <sz val="10"/>
            <rFont val="Arial"/>
            <family val="2"/>
          </rPr>
          <t xml:space="preserve">Author:
steel rario changed slightly as Dnom was modified</t>
        </r>
      </text>
    </comment>
    <comment ref="U1" authorId="0">
      <text>
        <r>
          <rPr>
            <sz val="10"/>
            <rFont val="Arial"/>
            <family val="2"/>
          </rPr>
          <t xml:space="preserve">======
ID#AAAAJviLRKA
Yazar    (2020-07-05 18:02:42)
1: Force-Control
2:Displacement-Control
3-Force control before displacement control
4-Displacement-control before force-control
İncremental İnformation :
0-Constant
1-One cycle incremental
2-Two cycle incremental
Final Code Example:
10-Force Control Constant
11-Force Control one cycle incremental (1 çevrimde artımlı yükleme çeşidi)
22-Displacement-Control two cycle incremental (2 çevrimde bir artımlı yükleme çeşidi)
3 ve 4 özel yükleme çeşitleri olduğundan bu protocola sahip olanlar ayrıca incelenmelidir!</t>
        </r>
      </text>
    </comment>
    <comment ref="U137" authorId="0">
      <text>
        <r>
          <rPr>
            <sz val="10"/>
            <rFont val="Arial"/>
            <family val="2"/>
          </rPr>
          <t xml:space="preserve">======
ID#AAAAJviLRJ8
Yazar    (2020-07-05 18:02:42)
1 cycle loading is applied to the first step only.</t>
        </r>
      </text>
    </comment>
    <comment ref="U138" authorId="0">
      <text>
        <r>
          <rPr>
            <sz val="10"/>
            <rFont val="Arial"/>
            <family val="2"/>
          </rPr>
          <t xml:space="preserve">======
ID#AAAAJviLRNE
Yazar    (2020-07-05 18:02:42)
1 cycle loading is applied to the first step only.</t>
        </r>
      </text>
    </comment>
    <comment ref="U139" authorId="0">
      <text>
        <r>
          <rPr>
            <sz val="10"/>
            <rFont val="Arial"/>
            <family val="2"/>
          </rPr>
          <t xml:space="preserve">======
ID#AAAAJviLRH0
Yazar    (2020-07-05 18:02:42)
1 cycle loading is applied to the first step only.</t>
        </r>
      </text>
    </comment>
    <comment ref="U140" authorId="0">
      <text>
        <r>
          <rPr>
            <sz val="10"/>
            <rFont val="Arial"/>
            <family val="2"/>
          </rPr>
          <t xml:space="preserve">======
ID#AAAAJviLRLg
Yazar    (2020-07-05 18:02:42)
1 cycle loading is applied to the first step only.</t>
        </r>
      </text>
    </comment>
    <comment ref="U141" authorId="0">
      <text>
        <r>
          <rPr>
            <sz val="10"/>
            <rFont val="Arial"/>
            <family val="2"/>
          </rPr>
          <t xml:space="preserve">======
ID#AAAAJviLROY
Yazar    (2020-07-05 18:02:42)
1 cycle loading is applied to the first step only.</t>
        </r>
      </text>
    </comment>
    <comment ref="U142" authorId="0">
      <text>
        <r>
          <rPr>
            <sz val="10"/>
            <rFont val="Arial"/>
            <family val="2"/>
          </rPr>
          <t xml:space="preserve">======
ID#AAAAJviLRGE
Yazar    (2020-07-05 18:02:42)
1 cycle loading is applied to the first step only.</t>
        </r>
      </text>
    </comment>
    <comment ref="U143" authorId="0">
      <text>
        <r>
          <rPr>
            <sz val="10"/>
            <rFont val="Arial"/>
            <family val="2"/>
          </rPr>
          <t xml:space="preserve">======
ID#AAAAJviLRG4
Yazar    (2020-07-05 18:02:42)
1 cycle loading is applied to the first step only.</t>
        </r>
      </text>
    </comment>
    <comment ref="U144" authorId="0">
      <text>
        <r>
          <rPr>
            <sz val="10"/>
            <rFont val="Arial"/>
            <family val="2"/>
          </rPr>
          <t xml:space="preserve">======
ID#AAAAJviLRHY
Yazar    (2020-07-05 18:02:42)
1 cycle loading is applied to the first step only.</t>
        </r>
      </text>
    </comment>
  </commentList>
</comments>
</file>

<file path=xl/sharedStrings.xml><?xml version="1.0" encoding="utf-8"?>
<sst xmlns="http://schemas.openxmlformats.org/spreadsheetml/2006/main" count="478" uniqueCount="437">
  <si>
    <t xml:space="preserve">Paper No</t>
  </si>
  <si>
    <t xml:space="preserve">Specimen</t>
  </si>
  <si>
    <t xml:space="preserve">Wall Geometry (in mm)</t>
  </si>
  <si>
    <t xml:space="preserve">Shear Span Ratio</t>
  </si>
  <si>
    <t xml:space="preserve">Aspect Ratio</t>
  </si>
  <si>
    <t xml:space="preserve">Walls Cross Section</t>
  </si>
  <si>
    <t xml:space="preserve">Failure Type</t>
  </si>
  <si>
    <t xml:space="preserve">Curvature Type</t>
  </si>
  <si>
    <t xml:space="preserve">Axial Load Ratio</t>
  </si>
  <si>
    <t xml:space="preserve">Loading Protocol</t>
  </si>
  <si>
    <t xml:space="preserve">Ab/Ag</t>
  </si>
  <si>
    <t xml:space="preserve">lw/tw</t>
  </si>
  <si>
    <t xml:space="preserve">ρl fyl/fc</t>
  </si>
  <si>
    <t xml:space="preserve">ρt fyt/fc</t>
  </si>
  <si>
    <t xml:space="preserve">ρsh fysh/fc</t>
  </si>
  <si>
    <t xml:space="preserve">ρbl fybl/fc</t>
  </si>
  <si>
    <t xml:space="preserve">Maximum Shear Force</t>
  </si>
  <si>
    <t xml:space="preserve">Shear level (normalized)</t>
  </si>
  <si>
    <t xml:space="preserve">Shear stress (Mpa)</t>
  </si>
  <si>
    <t xml:space="preserve">Thickness</t>
  </si>
  <si>
    <t xml:space="preserve">Length</t>
  </si>
  <si>
    <t xml:space="preserve">Height</t>
  </si>
  <si>
    <t xml:space="preserve">fc (MPa)</t>
  </si>
  <si>
    <t xml:space="preserve">ρbl (%)</t>
  </si>
  <si>
    <t xml:space="preserve">fybl (MPa)</t>
  </si>
  <si>
    <t xml:space="preserve">ρsh (%)</t>
  </si>
  <si>
    <t xml:space="preserve">ρt (%)</t>
  </si>
  <si>
    <t xml:space="preserve">fyt (MPa)</t>
  </si>
  <si>
    <t xml:space="preserve">ρl (%)</t>
  </si>
  <si>
    <t xml:space="preserve">fyl (MPa)</t>
  </si>
  <si>
    <t xml:space="preserve">Force (kN)</t>
  </si>
  <si>
    <t xml:space="preserve">V/sqrt(fc)</t>
  </si>
  <si>
    <t xml:space="preserve">[114] Adajar et al.1995</t>
  </si>
  <si>
    <t xml:space="preserve">RCW3</t>
  </si>
  <si>
    <t xml:space="preserve">[26] Alarcon,2014</t>
  </si>
  <si>
    <t xml:space="preserve">W1 (49)</t>
  </si>
  <si>
    <t xml:space="preserve">W2 (50)</t>
  </si>
  <si>
    <t xml:space="preserve">W3 (51)</t>
  </si>
  <si>
    <t xml:space="preserve">[33] Altın,2013</t>
  </si>
  <si>
    <t xml:space="preserve">1 (Reference) (65)</t>
  </si>
  <si>
    <t xml:space="preserve">Athanasopoulou (2010)</t>
  </si>
  <si>
    <t xml:space="preserve">S1</t>
  </si>
  <si>
    <t xml:space="preserve">S4</t>
  </si>
  <si>
    <t xml:space="preserve">S6</t>
  </si>
  <si>
    <t xml:space="preserve">[117]  Baek et al.2017</t>
  </si>
  <si>
    <t xml:space="preserve">NS2</t>
  </si>
  <si>
    <t xml:space="preserve">HS2</t>
  </si>
  <si>
    <t xml:space="preserve">NS2L</t>
  </si>
  <si>
    <t xml:space="preserve">HS2L</t>
  </si>
  <si>
    <t xml:space="preserve">NF2</t>
  </si>
  <si>
    <t xml:space="preserve">HF2</t>
  </si>
  <si>
    <t xml:space="preserve">HF2-500</t>
  </si>
  <si>
    <t xml:space="preserve">HF2-600</t>
  </si>
  <si>
    <t xml:space="preserve">[153]  Baek et al.2017</t>
  </si>
  <si>
    <t xml:space="preserve">NS1M</t>
  </si>
  <si>
    <t xml:space="preserve">HS1M</t>
  </si>
  <si>
    <t xml:space="preserve">NF1M</t>
  </si>
  <si>
    <t xml:space="preserve">HF1M</t>
  </si>
  <si>
    <t xml:space="preserve">HF1M-B</t>
  </si>
  <si>
    <t xml:space="preserve">NF1T-B</t>
  </si>
  <si>
    <t xml:space="preserve">HF1T-B</t>
  </si>
  <si>
    <t xml:space="preserve">NS0.5M</t>
  </si>
  <si>
    <t xml:space="preserve">HS0.5M</t>
  </si>
  <si>
    <t xml:space="preserve">NF0.5M</t>
  </si>
  <si>
    <t xml:space="preserve">HF0.5M</t>
  </si>
  <si>
    <t xml:space="preserve">HF0.5M-B</t>
  </si>
  <si>
    <t xml:space="preserve">[154]  Baek et al.2018</t>
  </si>
  <si>
    <t xml:space="preserve">SW1</t>
  </si>
  <si>
    <t xml:space="preserve">SW2</t>
  </si>
  <si>
    <t xml:space="preserve">SW3</t>
  </si>
  <si>
    <t xml:space="preserve">SW4</t>
  </si>
  <si>
    <t xml:space="preserve">SW5</t>
  </si>
  <si>
    <t xml:space="preserve">SW6</t>
  </si>
  <si>
    <t xml:space="preserve">FW1</t>
  </si>
  <si>
    <t xml:space="preserve">FW4</t>
  </si>
  <si>
    <t xml:space="preserve">[72] Barda,1977</t>
  </si>
  <si>
    <t xml:space="preserve">B3-2 (173)</t>
  </si>
  <si>
    <t xml:space="preserve">B6-4 (176)</t>
  </si>
  <si>
    <t xml:space="preserve">B7-5 (177)</t>
  </si>
  <si>
    <t xml:space="preserve">B8-5 (178)</t>
  </si>
  <si>
    <t xml:space="preserve">[118] Cheng et al.2016</t>
  </si>
  <si>
    <t xml:space="preserve">M60</t>
  </si>
  <si>
    <t xml:space="preserve">'Loading Protocole'!A20</t>
  </si>
  <si>
    <t xml:space="preserve">M115</t>
  </si>
  <si>
    <t xml:space="preserve">H60</t>
  </si>
  <si>
    <t xml:space="preserve">H115</t>
  </si>
  <si>
    <t xml:space="preserve">H60X</t>
  </si>
  <si>
    <t xml:space="preserve">[121] Christidis et al.2017</t>
  </si>
  <si>
    <t xml:space="preserve">W7</t>
  </si>
  <si>
    <t xml:space="preserve">'Loading Protocole'!A220</t>
  </si>
  <si>
    <t xml:space="preserve">[125] Cortés-Puentes 
(2018)</t>
  </si>
  <si>
    <t xml:space="preserve">SQ1a</t>
  </si>
  <si>
    <t xml:space="preserve">[145] Dabbagh 2005</t>
  </si>
  <si>
    <t xml:space="preserve">'Loading Protocole'!A771</t>
  </si>
  <si>
    <t xml:space="preserve">[122] El-Azizy et al.2015</t>
  </si>
  <si>
    <t xml:space="preserve">W4</t>
  </si>
  <si>
    <t xml:space="preserve">W5</t>
  </si>
  <si>
    <t xml:space="preserve">W6</t>
  </si>
  <si>
    <t xml:space="preserve">[144]Ghorbani-Renani et al
(2009)</t>
  </si>
  <si>
    <t xml:space="preserve">A2C</t>
  </si>
  <si>
    <t xml:space="preserve">B2C</t>
  </si>
  <si>
    <t xml:space="preserve">[22] Greifenhagen, 2005</t>
  </si>
  <si>
    <t xml:space="preserve">M1 (42)</t>
  </si>
  <si>
    <t xml:space="preserve">M2 (43)</t>
  </si>
  <si>
    <t xml:space="preserve">M3 (44)</t>
  </si>
  <si>
    <t xml:space="preserve">M4 (45)</t>
  </si>
  <si>
    <t xml:space="preserve">[147] Han et al.2018</t>
  </si>
  <si>
    <t xml:space="preserve">IW1</t>
  </si>
  <si>
    <t xml:space="preserve">IW2</t>
  </si>
  <si>
    <t xml:space="preserve">IW3</t>
  </si>
  <si>
    <t xml:space="preserve">IW4</t>
  </si>
  <si>
    <t xml:space="preserve">IW5</t>
  </si>
  <si>
    <t xml:space="preserve">IW6</t>
  </si>
  <si>
    <t xml:space="preserve">IW7</t>
  </si>
  <si>
    <t xml:space="preserve">IW8</t>
  </si>
  <si>
    <t xml:space="preserve">IW9</t>
  </si>
  <si>
    <t xml:space="preserve">IW10</t>
  </si>
  <si>
    <t xml:space="preserve">IW11</t>
  </si>
  <si>
    <t xml:space="preserve">IW12</t>
  </si>
  <si>
    <t xml:space="preserve">IW15</t>
  </si>
  <si>
    <t xml:space="preserve">IW16</t>
  </si>
  <si>
    <t xml:space="preserve">[54;55] Hidalgo,2002</t>
  </si>
  <si>
    <t xml:space="preserve">1 (131)</t>
  </si>
  <si>
    <t xml:space="preserve">2 (132)</t>
  </si>
  <si>
    <t xml:space="preserve">4 (133)</t>
  </si>
  <si>
    <t xml:space="preserve">6 (134)</t>
  </si>
  <si>
    <t xml:space="preserve">7 (135)</t>
  </si>
  <si>
    <t xml:space="preserve">8 (136)</t>
  </si>
  <si>
    <t xml:space="preserve">9 (137)</t>
  </si>
  <si>
    <t xml:space="preserve">10 (138)</t>
  </si>
  <si>
    <t xml:space="preserve">11 (139)</t>
  </si>
  <si>
    <t xml:space="preserve">12 (140)</t>
  </si>
  <si>
    <t xml:space="preserve">13 (141)</t>
  </si>
  <si>
    <t xml:space="preserve">14 (142)</t>
  </si>
  <si>
    <t xml:space="preserve">15 (143)</t>
  </si>
  <si>
    <t xml:space="preserve">16 (144)</t>
  </si>
  <si>
    <t xml:space="preserve">[27] Hube,2014</t>
  </si>
  <si>
    <t xml:space="preserve">W4 (52)</t>
  </si>
  <si>
    <t xml:space="preserve">W5 (53)</t>
  </si>
  <si>
    <t xml:space="preserve">W6 (54)</t>
  </si>
  <si>
    <t xml:space="preserve">W7 (55)</t>
  </si>
  <si>
    <t xml:space="preserve">W8 (56)</t>
  </si>
  <si>
    <t xml:space="preserve">W9 (57)</t>
  </si>
  <si>
    <t xml:space="preserve">[138] Hwang
(2004)</t>
  </si>
  <si>
    <t xml:space="preserve">WF-12</t>
  </si>
  <si>
    <t xml:space="preserve">D2I-N-D2I</t>
  </si>
  <si>
    <t xml:space="preserve">WF-15</t>
  </si>
  <si>
    <t xml:space="preserve">Jiang et al., (2022)</t>
  </si>
  <si>
    <t xml:space="preserve">W0</t>
  </si>
  <si>
    <t xml:space="preserve">[52] Kabeyasawa-Hiraishi,1993</t>
  </si>
  <si>
    <t xml:space="preserve">NW-2 (91)</t>
  </si>
  <si>
    <t xml:space="preserve">NW-3 (92)</t>
  </si>
  <si>
    <t xml:space="preserve">NW-4 (93)</t>
  </si>
  <si>
    <t xml:space="preserve">NW-5 (94)</t>
  </si>
  <si>
    <t xml:space="preserve">NW-6 (95)</t>
  </si>
  <si>
    <t xml:space="preserve">W-08 (96)</t>
  </si>
  <si>
    <t xml:space="preserve">W-12 (97)</t>
  </si>
  <si>
    <t xml:space="preserve">NO.1 (98)</t>
  </si>
  <si>
    <t xml:space="preserve">NO.2 (99)</t>
  </si>
  <si>
    <t xml:space="preserve">NO.3 (100)</t>
  </si>
  <si>
    <t xml:space="preserve">NO.4 (101)</t>
  </si>
  <si>
    <t xml:space="preserve">NO.5 (102)</t>
  </si>
  <si>
    <t xml:space="preserve">NO.6 (103)</t>
  </si>
  <si>
    <t xml:space="preserve">NO.7 (104)</t>
  </si>
  <si>
    <t xml:space="preserve">NO.8 (105)</t>
  </si>
  <si>
    <t xml:space="preserve">TAK01 (124)</t>
  </si>
  <si>
    <t xml:space="preserve">TAK02 (125)</t>
  </si>
  <si>
    <t xml:space="preserve">TAK03 (126)</t>
  </si>
  <si>
    <t xml:space="preserve">MAE03 (111)</t>
  </si>
  <si>
    <t xml:space="preserve">MAE07 (112)</t>
  </si>
  <si>
    <t xml:space="preserve">W72M6 (116)</t>
  </si>
  <si>
    <t xml:space="preserve">SMZ03 (120)</t>
  </si>
  <si>
    <t xml:space="preserve">[152] Kimura and Sugano 1996</t>
  </si>
  <si>
    <t xml:space="preserve">W8N18 (121)</t>
  </si>
  <si>
    <t xml:space="preserve">W4N18</t>
  </si>
  <si>
    <t xml:space="preserve">W4N18C</t>
  </si>
  <si>
    <t xml:space="preserve">[40] Kuang,2007</t>
  </si>
  <si>
    <t xml:space="preserve">N-1,0 (76)</t>
  </si>
  <si>
    <t xml:space="preserve">M-1,0-H (77)</t>
  </si>
  <si>
    <t xml:space="preserve">M-1,0-2H (78)</t>
  </si>
  <si>
    <t xml:space="preserve">M-1,0-SH (79)</t>
  </si>
  <si>
    <t xml:space="preserve">M-1,0-J (80)</t>
  </si>
  <si>
    <t xml:space="preserve">M-1,0-T (81)</t>
  </si>
  <si>
    <t xml:space="preserve">[76] Lefas-Kotsovos ,1990</t>
  </si>
  <si>
    <t xml:space="preserve">Lefas_SW31 (212)</t>
  </si>
  <si>
    <t xml:space="preserve">Lefas_SW32</t>
  </si>
  <si>
    <t xml:space="preserve">[141] Li et al, 
(2015) </t>
  </si>
  <si>
    <t xml:space="preserve">LW1</t>
  </si>
  <si>
    <t xml:space="preserve">D1I-N-D2I</t>
  </si>
  <si>
    <t xml:space="preserve">LW2</t>
  </si>
  <si>
    <t xml:space="preserve">LW3</t>
  </si>
  <si>
    <t xml:space="preserve">LW4</t>
  </si>
  <si>
    <t xml:space="preserve">LW5</t>
  </si>
  <si>
    <t xml:space="preserve">MW1</t>
  </si>
  <si>
    <t xml:space="preserve">MW2</t>
  </si>
  <si>
    <t xml:space="preserve">MW3</t>
  </si>
  <si>
    <t xml:space="preserve">[30;31] Lopes,2000</t>
  </si>
  <si>
    <t xml:space="preserve">Lopes_SW13 (62)</t>
  </si>
  <si>
    <t xml:space="preserve">[91] Lowes,2012</t>
  </si>
  <si>
    <t xml:space="preserve">PW1 (235)</t>
  </si>
  <si>
    <t xml:space="preserve">PW2 (236)</t>
  </si>
  <si>
    <t xml:space="preserve">PW3 (237)</t>
  </si>
  <si>
    <t xml:space="preserve">PW4 (238)</t>
  </si>
  <si>
    <t xml:space="preserve">[131] Lu et al
 (2015)</t>
  </si>
  <si>
    <t xml:space="preserve">SW-1</t>
  </si>
  <si>
    <t xml:space="preserve">D1I-Y3I</t>
  </si>
  <si>
    <t xml:space="preserve">[143]Lu et al
 (2016)</t>
  </si>
  <si>
    <t xml:space="preserve">C4</t>
  </si>
  <si>
    <t xml:space="preserve">-</t>
  </si>
  <si>
    <t xml:space="preserve">F1I-N-D3I</t>
  </si>
  <si>
    <t xml:space="preserve">C5</t>
  </si>
  <si>
    <t xml:space="preserve">Lu et al., (2017)</t>
  </si>
  <si>
    <t xml:space="preserve">SW0</t>
  </si>
  <si>
    <t xml:space="preserve">[128] Luna
(2015)</t>
  </si>
  <si>
    <t xml:space="preserve">D3C-N-D2I</t>
  </si>
  <si>
    <t xml:space="preserve">SW-2</t>
  </si>
  <si>
    <t xml:space="preserve">SW-3</t>
  </si>
  <si>
    <t xml:space="preserve">SW-4</t>
  </si>
  <si>
    <t xml:space="preserve">SW-5</t>
  </si>
  <si>
    <t xml:space="preserve">SW-6</t>
  </si>
  <si>
    <t xml:space="preserve">SW-7</t>
  </si>
  <si>
    <t xml:space="preserve">SW-8</t>
  </si>
  <si>
    <t xml:space="preserve">SW-9</t>
  </si>
  <si>
    <t xml:space="preserve">SW-10</t>
  </si>
  <si>
    <t xml:space="preserve">SW-11</t>
  </si>
  <si>
    <t xml:space="preserve">SW-12</t>
  </si>
  <si>
    <t xml:space="preserve">[146] Ma and Li 2018</t>
  </si>
  <si>
    <t xml:space="preserve">HP0D0</t>
  </si>
  <si>
    <t xml:space="preserve">HP5D0</t>
  </si>
  <si>
    <t xml:space="preserve">[80] Massone,2009</t>
  </si>
  <si>
    <t xml:space="preserve">WP-T5-N0-S1 (215)</t>
  </si>
  <si>
    <t xml:space="preserve">WP-T5-N0-S2 (216)</t>
  </si>
  <si>
    <t xml:space="preserve">WP-T5-N5-S2 (218)</t>
  </si>
  <si>
    <t xml:space="preserve">WP-T5-N10-S1 (219)</t>
  </si>
  <si>
    <t xml:space="preserve">WP-T5-N10-S2 (220)</t>
  </si>
  <si>
    <t xml:space="preserve">[150] Mo &amp; Chan, (1996)</t>
  </si>
  <si>
    <t xml:space="preserve">LN4-1</t>
  </si>
  <si>
    <t xml:space="preserve">LN4-2</t>
  </si>
  <si>
    <t xml:space="preserve">LN4-3</t>
  </si>
  <si>
    <t xml:space="preserve">LN6-1</t>
  </si>
  <si>
    <t xml:space="preserve">LN6-2</t>
  </si>
  <si>
    <t xml:space="preserve">LN6-3</t>
  </si>
  <si>
    <t xml:space="preserve">LM6-1</t>
  </si>
  <si>
    <t xml:space="preserve">LM6-2</t>
  </si>
  <si>
    <t xml:space="preserve">LM6-3</t>
  </si>
  <si>
    <t xml:space="preserve">LM4-2</t>
  </si>
  <si>
    <t xml:space="preserve">LM4-3</t>
  </si>
  <si>
    <t xml:space="preserve">HN4-1</t>
  </si>
  <si>
    <t xml:space="preserve">HN4-2</t>
  </si>
  <si>
    <t xml:space="preserve">HN4-3</t>
  </si>
  <si>
    <t xml:space="preserve">HN6-1</t>
  </si>
  <si>
    <t xml:space="preserve">HN6-2</t>
  </si>
  <si>
    <t xml:space="preserve">HN6-3</t>
  </si>
  <si>
    <t xml:space="preserve">HM4-1</t>
  </si>
  <si>
    <t xml:space="preserve">HM4-2</t>
  </si>
  <si>
    <t xml:space="preserve">HM4-3</t>
  </si>
  <si>
    <t xml:space="preserve">[9] Mohamed, 2014</t>
  </si>
  <si>
    <t xml:space="preserve">ST15 (9)</t>
  </si>
  <si>
    <t xml:space="preserve">[71] Oesterle,1979</t>
  </si>
  <si>
    <t xml:space="preserve">R1 (157)</t>
  </si>
  <si>
    <t xml:space="preserve">R2 (158)</t>
  </si>
  <si>
    <t xml:space="preserve">B1 (159)</t>
  </si>
  <si>
    <t xml:space="preserve">B2 (160)</t>
  </si>
  <si>
    <t xml:space="preserve">B3 (161)</t>
  </si>
  <si>
    <t xml:space="preserve">B5 (163)</t>
  </si>
  <si>
    <t xml:space="preserve">B6 (164)</t>
  </si>
  <si>
    <t xml:space="preserve">B7 (165)</t>
  </si>
  <si>
    <t xml:space="preserve">B8 (166)</t>
  </si>
  <si>
    <t xml:space="preserve">B9 (167)</t>
  </si>
  <si>
    <t xml:space="preserve">B10 (168)</t>
  </si>
  <si>
    <t xml:space="preserve">F1 (169)</t>
  </si>
  <si>
    <t xml:space="preserve">F2 (170)</t>
  </si>
  <si>
    <t xml:space="preserve">[84] Palermo, Vecchio (2002)</t>
  </si>
  <si>
    <t xml:space="preserve">DP1</t>
  </si>
  <si>
    <t xml:space="preserve">'Loading Protocole'!A221</t>
  </si>
  <si>
    <t xml:space="preserve">DP2</t>
  </si>
  <si>
    <t xml:space="preserve">'Loading Protocole'!A222</t>
  </si>
  <si>
    <t xml:space="preserve">[68]Paterson&amp;Mitchell(2003)</t>
  </si>
  <si>
    <t xml:space="preserve">Paterson_W1</t>
  </si>
  <si>
    <t xml:space="preserve">Paterson_W2</t>
  </si>
  <si>
    <t xml:space="preserve">[123] Park et al.2015</t>
  </si>
  <si>
    <t xml:space="preserve">S2</t>
  </si>
  <si>
    <t xml:space="preserve">S3</t>
  </si>
  <si>
    <t xml:space="preserve">S5</t>
  </si>
  <si>
    <t xml:space="preserve">S7</t>
  </si>
  <si>
    <t xml:space="preserve">[85] Paulay,1982</t>
  </si>
  <si>
    <t xml:space="preserve">Wall1 (222)</t>
  </si>
  <si>
    <t xml:space="preserve">[86] Pilakoutas,1995</t>
  </si>
  <si>
    <t xml:space="preserve">SW5 (225)</t>
  </si>
  <si>
    <t xml:space="preserve">SW6 (226)</t>
  </si>
  <si>
    <t xml:space="preserve">SW7 (227)</t>
  </si>
  <si>
    <t xml:space="preserve">SW8 (228)</t>
  </si>
  <si>
    <t xml:space="preserve">SW9 (229)</t>
  </si>
  <si>
    <t xml:space="preserve">Rong et al (2020)</t>
  </si>
  <si>
    <t xml:space="preserve">[53] Salonikios,1999</t>
  </si>
  <si>
    <t xml:space="preserve">Salonikios_LSW1 (127)</t>
  </si>
  <si>
    <t xml:space="preserve">Salonikios_LSW2 (128)</t>
  </si>
  <si>
    <t xml:space="preserve">Salonikios_LSW3 (129)</t>
  </si>
  <si>
    <t xml:space="preserve">[148] Sato et al, (1989)</t>
  </si>
  <si>
    <t xml:space="preserve">36M 8-30</t>
  </si>
  <si>
    <t xml:space="preserve">No information</t>
  </si>
  <si>
    <t xml:space="preserve">36M 8-40</t>
  </si>
  <si>
    <t xml:space="preserve">36M 8-50</t>
  </si>
  <si>
    <t xml:space="preserve">[67] Shaingchin, Lukkunaprasit, Wood (2007)</t>
  </si>
  <si>
    <t xml:space="preserve">WC150</t>
  </si>
  <si>
    <t xml:space="preserve">'Loading Protocole'!A60</t>
  </si>
  <si>
    <t xml:space="preserve">[90] Shiu,1981</t>
  </si>
  <si>
    <t xml:space="preserve">CI-1 (234)</t>
  </si>
  <si>
    <t xml:space="preserve">[97] Sittipunt,2001</t>
  </si>
  <si>
    <t xml:space="preserve">W1 (263)</t>
  </si>
  <si>
    <t xml:space="preserve">W2 (264)</t>
  </si>
  <si>
    <t xml:space="preserve">[21] Su,2006</t>
  </si>
  <si>
    <t xml:space="preserve">W2 (40)</t>
  </si>
  <si>
    <t xml:space="preserve">W3 (41)</t>
  </si>
  <si>
    <t xml:space="preserve">[119] &amp; [120] Susanto Teng and Jimmy Chandra(2016)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</si>
  <si>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</si>
  <si>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</si>
  <si>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</si>
  <si>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</si>
  <si>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</si>
  <si>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</si>
  <si>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</si>
  <si>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[109] Takehara et al. 1997</t>
  </si>
  <si>
    <t xml:space="preserve">96SWH-4</t>
  </si>
  <si>
    <t xml:space="preserve">93SWH-6</t>
  </si>
  <si>
    <t xml:space="preserve">Tang et al., (2024)</t>
  </si>
  <si>
    <t xml:space="preserve">CIP</t>
  </si>
  <si>
    <t xml:space="preserve">[28] Tasnimi, 2000</t>
  </si>
  <si>
    <t xml:space="preserve">SHW1 (58)</t>
  </si>
  <si>
    <t xml:space="preserve">Tasnimi_SHW2 (59)</t>
  </si>
  <si>
    <t xml:space="preserve">Tasnimi_SHW3 (60)</t>
  </si>
  <si>
    <t xml:space="preserve">Tasnimi_SHW4 (61)</t>
  </si>
  <si>
    <t xml:space="preserve">[112] Tatsuya (1996)</t>
  </si>
  <si>
    <t xml:space="preserve">M35X (106)</t>
  </si>
  <si>
    <t xml:space="preserve">M35H (107)</t>
  </si>
  <si>
    <t xml:space="preserve">P35H (108)</t>
  </si>
  <si>
    <t xml:space="preserve">M30H (109)</t>
  </si>
  <si>
    <t xml:space="preserve">MW35H (110)</t>
  </si>
  <si>
    <t xml:space="preserve">Terzioglu et al. (2018) </t>
  </si>
  <si>
    <t xml:space="preserve">T2-S2-3</t>
  </si>
  <si>
    <t xml:space="preserve">T2-S3-4</t>
  </si>
  <si>
    <t xml:space="preserve">T3-S1-5</t>
  </si>
  <si>
    <t xml:space="preserve">T4-S1-6</t>
  </si>
  <si>
    <t xml:space="preserve">T5-S1-7</t>
  </si>
  <si>
    <t xml:space="preserve">T6-S1-8</t>
  </si>
  <si>
    <t xml:space="preserve">T1-S2-9</t>
  </si>
  <si>
    <t xml:space="preserve">T1-N5-S1-10</t>
  </si>
  <si>
    <t xml:space="preserve">T1-N10-S1-11</t>
  </si>
  <si>
    <t xml:space="preserve">T1-S1-2</t>
  </si>
  <si>
    <t xml:space="preserve">[41] Thomson,2009</t>
  </si>
  <si>
    <t xml:space="preserve">SW-H02 (83)</t>
  </si>
  <si>
    <t xml:space="preserve">SW-H03 (84)</t>
  </si>
  <si>
    <t xml:space="preserve">SW-M01 (82)</t>
  </si>
  <si>
    <t xml:space="preserve">[10] Tran, 2014</t>
  </si>
  <si>
    <t xml:space="preserve">RW-A20-P10-S38 (10)</t>
  </si>
  <si>
    <t xml:space="preserve">RW-A20-P10-S63 (11)</t>
  </si>
  <si>
    <t xml:space="preserve">RW-A15-P10-S51 (12)</t>
  </si>
  <si>
    <t xml:space="preserve">RW-A15-P10-S78 (13)</t>
  </si>
  <si>
    <t xml:space="preserve">RW-A15-P2,5-S64 (14)</t>
  </si>
  <si>
    <t xml:space="preserve">[14] Yan,2008</t>
  </si>
  <si>
    <t xml:space="preserve">SW-4 (24)</t>
  </si>
  <si>
    <t xml:space="preserve">SW-5 (25)</t>
  </si>
  <si>
    <t xml:space="preserve">[35] Yun,2001</t>
  </si>
  <si>
    <t xml:space="preserve">HW1 (66)</t>
  </si>
  <si>
    <t xml:space="preserve">HW2 (67)</t>
  </si>
  <si>
    <t xml:space="preserve">HW3 (68)</t>
  </si>
  <si>
    <t xml:space="preserve">HW4 (69)</t>
  </si>
  <si>
    <t xml:space="preserve">HW5 (70)</t>
  </si>
  <si>
    <t xml:space="preserve">[51] Zhang,2000</t>
  </si>
  <si>
    <t xml:space="preserve">SW9 (89)</t>
  </si>
  <si>
    <t xml:space="preserve">[94] Zhang,2007</t>
  </si>
  <si>
    <t xml:space="preserve">Zhang_SW2-1 (247)</t>
  </si>
  <si>
    <t xml:space="preserve">Zhang_SW2-2 (248)</t>
  </si>
  <si>
    <t xml:space="preserve">[198] Zhou et al., (2021)</t>
  </si>
  <si>
    <t xml:space="preserve">[134] Zhu and Guo
(2016)</t>
  </si>
  <si>
    <t xml:space="preserve">MW</t>
  </si>
  <si>
    <t xml:space="preserve">[157] Aoyama et al.1984</t>
  </si>
  <si>
    <t xml:space="preserve">P2015</t>
  </si>
  <si>
    <t xml:space="preserve">[151] Endo et al.1980(from Lu et al., 2010, NEES Database)</t>
  </si>
  <si>
    <t xml:space="preserve">W7101</t>
  </si>
  <si>
    <t xml:space="preserve">W7102</t>
  </si>
  <si>
    <t xml:space="preserve">W7103</t>
  </si>
  <si>
    <t xml:space="preserve">[137] Hsiao
(2008)</t>
  </si>
  <si>
    <t xml:space="preserve">Hsiao_MW1</t>
  </si>
  <si>
    <t xml:space="preserve">Hsiao_LW1</t>
  </si>
  <si>
    <t xml:space="preserve">[105] Matsuoka et al.2003</t>
  </si>
  <si>
    <t xml:space="preserve">S1W5-0.00-4.5-0.014</t>
  </si>
  <si>
    <t xml:space="preserve">Matsuoka_S1W5_0.00-4.5-1.4 (2012)</t>
  </si>
  <si>
    <t xml:space="preserve">Hirosawa_1975</t>
  </si>
  <si>
    <t xml:space="preserve">Kokusho_1-2 (1056)</t>
  </si>
  <si>
    <t xml:space="preserve">Kokusho_1-3 (1057)</t>
  </si>
  <si>
    <t xml:space="preserve">Kokusho_1-4 (1058)</t>
  </si>
  <si>
    <t xml:space="preserve">Kokusho_1-5 (1059)</t>
  </si>
  <si>
    <t xml:space="preserve">Kokusho_1-6 (1060)</t>
  </si>
  <si>
    <t xml:space="preserve">Kokusho_1-7 (1061)</t>
  </si>
  <si>
    <t xml:space="preserve">Kokusho_2-1 (1062)</t>
  </si>
  <si>
    <t xml:space="preserve">Kokusho_2-2 (1063)</t>
  </si>
  <si>
    <t xml:space="preserve">Kokusho_2-3 (1064)</t>
  </si>
  <si>
    <t xml:space="preserve">Kokusho_2-4 (1065)</t>
  </si>
  <si>
    <t xml:space="preserve">Kokusho_3-3 (1066)</t>
  </si>
  <si>
    <t xml:space="preserve">Kokusho_3-4 (1067)</t>
  </si>
  <si>
    <t xml:space="preserve">Kokusho_3-5 (1068)</t>
  </si>
  <si>
    <t xml:space="preserve">Kokusho_3-6 (1069)</t>
  </si>
  <si>
    <t xml:space="preserve">Kokusho_3-7 (1070)</t>
  </si>
  <si>
    <t xml:space="preserve">Kokusho_3-8 (1071)</t>
  </si>
  <si>
    <t xml:space="preserve">Kokusho_4-1 (1072)</t>
  </si>
  <si>
    <t xml:space="preserve">Kokusho_4-2 (1073)</t>
  </si>
  <si>
    <t xml:space="preserve">Kokusho_4-3 (1074)</t>
  </si>
  <si>
    <t xml:space="preserve">[156] Tokunaga and Nakachi (2012)</t>
  </si>
  <si>
    <t xml:space="preserve">Tokunaga_No.2 (1091)</t>
  </si>
  <si>
    <t xml:space="preserve">Tokunaga_No.4 (1092)</t>
  </si>
  <si>
    <t xml:space="preserve">Tokunaga_No.6 (1093)</t>
  </si>
  <si>
    <t xml:space="preserve">Tokunaga_No.8 (1094)</t>
  </si>
  <si>
    <t xml:space="preserve">Tokunaga_No.1 (1095)</t>
  </si>
  <si>
    <t xml:space="preserve">Tokunaga_No.3 (1096)</t>
  </si>
  <si>
    <t xml:space="preserve">Tokunaga_No.5 (1097)</t>
  </si>
  <si>
    <t xml:space="preserve">Tokunaga_No.7 (1098)</t>
  </si>
  <si>
    <t xml:space="preserve">Tokunaga_H1 (1099)</t>
  </si>
  <si>
    <t xml:space="preserve">Tokunaga-H2 (1100)</t>
  </si>
  <si>
    <t xml:space="preserve">Tokunaga-H3 (1101)</t>
  </si>
  <si>
    <t xml:space="preserve">[87] Vallenas,1979</t>
  </si>
  <si>
    <t xml:space="preserve">Specimen4 (231)</t>
  </si>
  <si>
    <t xml:space="preserve">Specimen6 (233)</t>
  </si>
  <si>
    <t xml:space="preserve">[132] Woods et al
(2016)</t>
  </si>
  <si>
    <t xml:space="preserve">CW1</t>
  </si>
  <si>
    <t xml:space="preserve">F2I-Y-D2I</t>
  </si>
  <si>
    <t xml:space="preserve">CW2</t>
  </si>
  <si>
    <t xml:space="preserve">T2-S1-1</t>
  </si>
  <si>
    <t xml:space="preserve">[127] Yang
(2016)</t>
  </si>
  <si>
    <t xml:space="preserve">F1I-Y-D3I</t>
  </si>
  <si>
    <t xml:space="preserve">Massone 2009</t>
  </si>
  <si>
    <t xml:space="preserve">WP-T5-N5-S1 (217)</t>
  </si>
  <si>
    <t xml:space="preserve">W48M6 (113)</t>
  </si>
  <si>
    <t xml:space="preserve">W48M4 (114)</t>
  </si>
  <si>
    <t xml:space="preserve">W72M8 (115)</t>
  </si>
  <si>
    <t xml:space="preserve">W72M8 (117)</t>
  </si>
  <si>
    <t xml:space="preserve">W96M8 (118)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</si>
</sst>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00"/>
    <numFmt numFmtId="168" formatCode="0.0000"/>
    <numFmt numFmtId="169" formatCode="0.0"/>
    <numFmt numFmtId="170" formatCode="_-* #,##0.00\ _₺_-;\-* #,##0.00\ _₺_-;_-* \-??\ _₺_-;_-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62"/>
    </font>
    <font>
      <sz val="11"/>
      <color theme="1"/>
      <name val="Calibri"/>
      <family val="2"/>
      <charset val="162"/>
    </font>
    <font>
      <sz val="11"/>
      <color theme="1"/>
      <name val="Arial"/>
      <family val="2"/>
      <charset val="162"/>
    </font>
    <font>
      <b val="true"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 val="true"/>
      <sz val="11"/>
      <color theme="1"/>
      <name val="Arial"/>
      <family val="2"/>
      <charset val="1"/>
    </font>
    <font>
      <u val="single"/>
      <sz val="10"/>
      <color theme="1"/>
      <name val="Arial"/>
      <family val="2"/>
      <charset val="162"/>
    </font>
    <font>
      <sz val="10"/>
      <color theme="1"/>
      <name val="Arial"/>
      <family val="2"/>
      <charset val="1"/>
    </font>
    <font>
      <u val="single"/>
      <sz val="10"/>
      <color theme="1"/>
      <name val="Arial"/>
      <family val="2"/>
      <charset val="1"/>
    </font>
    <font>
      <sz val="10"/>
      <color theme="1"/>
      <name val="Times New Roman"/>
      <family val="1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7F7F7F"/>
      </left>
      <right style="thin">
        <color rgb="FF7F7F7F"/>
      </right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4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3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3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7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7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8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Köprü 2" xfId="20"/>
    <cellStyle name="Normal 2 6" xfId="21"/>
    <cellStyle name="Normal 2 6 4" xfId="22"/>
    <cellStyle name="Normal 3" xfId="23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F33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S573" activeCellId="0" sqref="S573"/>
    </sheetView>
  </sheetViews>
  <sheetFormatPr defaultColWidth="14.507812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3.33"/>
    <col collapsed="false" customWidth="true" hidden="false" outlineLevel="0" max="3" min="3" style="1" width="13.34"/>
    <col collapsed="false" customWidth="true" hidden="false" outlineLevel="0" max="5" min="4" style="1" width="15.16"/>
    <col collapsed="false" customWidth="true" hidden="false" outlineLevel="0" max="6" min="6" style="1" width="9.67"/>
    <col collapsed="false" customWidth="true" hidden="false" outlineLevel="0" max="7" min="7" style="1" width="9.33"/>
    <col collapsed="false" customWidth="true" hidden="false" outlineLevel="0" max="8" min="8" style="1" width="24.51"/>
    <col collapsed="false" customWidth="true" hidden="false" outlineLevel="0" max="9" min="9" style="1" width="20.66"/>
    <col collapsed="false" customWidth="true" hidden="false" outlineLevel="0" max="10" min="10" style="1" width="19.33"/>
    <col collapsed="false" customWidth="true" hidden="false" outlineLevel="0" max="11" min="11" style="1" width="10.51"/>
    <col collapsed="false" customWidth="true" hidden="false" outlineLevel="0" max="12" min="12" style="1" width="11.16"/>
    <col collapsed="false" customWidth="true" hidden="false" outlineLevel="0" max="13" min="13" style="1" width="18.67"/>
    <col collapsed="false" customWidth="true" hidden="false" outlineLevel="0" max="14" min="14" style="1" width="10.51"/>
    <col collapsed="false" customWidth="true" hidden="false" outlineLevel="0" max="16" min="15" style="1" width="9.33"/>
    <col collapsed="false" customWidth="true" hidden="false" outlineLevel="0" max="17" min="17" style="1" width="10.51"/>
    <col collapsed="false" customWidth="true" hidden="false" outlineLevel="0" max="18" min="18" style="1" width="10.66"/>
    <col collapsed="false" customWidth="true" hidden="false" outlineLevel="0" max="19" min="19" style="1" width="10.51"/>
    <col collapsed="false" customWidth="true" hidden="true" outlineLevel="0" max="21" min="21" style="1" width="13.67"/>
    <col collapsed="false" customWidth="true" hidden="false" outlineLevel="0" max="22" min="22" style="1" width="12.33"/>
    <col collapsed="false" customWidth="true" hidden="false" outlineLevel="0" max="23" min="23" style="1" width="17.5"/>
    <col collapsed="false" customWidth="true" hidden="false" outlineLevel="0" max="24" min="24" style="1" width="9.16"/>
    <col collapsed="false" customWidth="false" hidden="false" outlineLevel="0" max="29" min="25" style="1" width="14.51"/>
    <col collapsed="false" customWidth="true" hidden="false" outlineLevel="0" max="30" min="30" style="1" width="19.67"/>
    <col collapsed="false" customWidth="false" hidden="false" outlineLevel="0" max="16384" min="31" style="1" width="14.51"/>
  </cols>
  <sheetData>
    <row r="1" customFormat="false" ht="25.5" hidden="false" customHeight="true" outlineLevel="0" collapsed="false">
      <c r="A1" s="2" t="s">
        <v>0</v>
      </c>
      <c r="B1" s="3" t="s">
        <v>1</v>
      </c>
      <c r="C1" s="4" t="s">
        <v>2</v>
      </c>
      <c r="D1" s="4"/>
      <c r="E1" s="4"/>
      <c r="F1" s="5" t="s">
        <v>3</v>
      </c>
      <c r="G1" s="5" t="s">
        <v>4</v>
      </c>
      <c r="H1" s="6" t="s">
        <v>5</v>
      </c>
      <c r="I1" s="6" t="s">
        <v>6</v>
      </c>
      <c r="J1" s="6" t="s">
        <v>7</v>
      </c>
      <c r="K1" s="5" t="s">
        <v>8</v>
      </c>
      <c r="L1" s="7"/>
      <c r="M1" s="7"/>
      <c r="N1" s="7"/>
      <c r="O1" s="7"/>
      <c r="P1" s="7"/>
      <c r="Q1" s="7"/>
      <c r="R1" s="7"/>
      <c r="S1" s="7"/>
      <c r="U1" s="8" t="s">
        <v>9</v>
      </c>
      <c r="V1" s="9" t="s">
        <v>10</v>
      </c>
      <c r="W1" s="9" t="s">
        <v>11</v>
      </c>
      <c r="X1" s="10"/>
      <c r="Y1" s="11" t="s">
        <v>12</v>
      </c>
      <c r="Z1" s="11" t="s">
        <v>13</v>
      </c>
      <c r="AA1" s="11" t="s">
        <v>14</v>
      </c>
      <c r="AB1" s="11" t="s">
        <v>15</v>
      </c>
      <c r="AD1" s="7"/>
    </row>
    <row r="2" customFormat="false" ht="25.5" hidden="false" customHeight="true" outlineLevel="0" collapsed="false">
      <c r="A2" s="2"/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12"/>
      <c r="N2" s="12"/>
      <c r="O2" s="12"/>
      <c r="P2" s="12"/>
      <c r="Q2" s="12"/>
      <c r="R2" s="12"/>
      <c r="S2" s="12"/>
      <c r="U2" s="8"/>
      <c r="V2" s="9"/>
      <c r="W2" s="9"/>
      <c r="X2" s="13"/>
      <c r="Y2" s="11"/>
      <c r="Z2" s="11"/>
      <c r="AA2" s="11"/>
      <c r="AB2" s="11"/>
      <c r="AD2" s="7"/>
    </row>
    <row r="3" customFormat="false" ht="25.5" hidden="false" customHeight="true" outlineLevel="0" collapsed="false">
      <c r="A3" s="2"/>
      <c r="B3" s="3"/>
      <c r="C3" s="4"/>
      <c r="D3" s="4"/>
      <c r="E3" s="4"/>
      <c r="F3" s="5"/>
      <c r="G3" s="5"/>
      <c r="H3" s="5"/>
      <c r="I3" s="5"/>
      <c r="J3" s="5"/>
      <c r="K3" s="5"/>
      <c r="L3" s="5"/>
      <c r="M3" s="12"/>
      <c r="N3" s="12"/>
      <c r="P3" s="12"/>
      <c r="Q3" s="12"/>
      <c r="R3" s="12"/>
      <c r="S3" s="12"/>
      <c r="U3" s="8"/>
      <c r="V3" s="9"/>
      <c r="W3" s="9"/>
      <c r="X3" s="13"/>
      <c r="Y3" s="11"/>
      <c r="Z3" s="11"/>
      <c r="AA3" s="11"/>
      <c r="AB3" s="11"/>
      <c r="AD3" s="14" t="s">
        <v>16</v>
      </c>
      <c r="AE3" s="15" t="s">
        <v>17</v>
      </c>
      <c r="AF3" s="16" t="s">
        <v>18</v>
      </c>
    </row>
    <row r="4" customFormat="false" ht="25.5" hidden="false" customHeight="true" outlineLevel="0" collapsed="false">
      <c r="A4" s="2"/>
      <c r="B4" s="3"/>
      <c r="C4" s="17" t="s">
        <v>19</v>
      </c>
      <c r="D4" s="17" t="s">
        <v>20</v>
      </c>
      <c r="E4" s="17" t="s">
        <v>21</v>
      </c>
      <c r="F4" s="5"/>
      <c r="G4" s="5"/>
      <c r="H4" s="5"/>
      <c r="I4" s="5"/>
      <c r="J4" s="5"/>
      <c r="K4" s="5"/>
      <c r="L4" s="18" t="s">
        <v>22</v>
      </c>
      <c r="M4" s="19" t="s">
        <v>23</v>
      </c>
      <c r="N4" s="20" t="s">
        <v>24</v>
      </c>
      <c r="O4" s="19" t="s">
        <v>25</v>
      </c>
      <c r="P4" s="19" t="s">
        <v>26</v>
      </c>
      <c r="Q4" s="21" t="s">
        <v>27</v>
      </c>
      <c r="R4" s="19" t="s">
        <v>28</v>
      </c>
      <c r="S4" s="18" t="s">
        <v>29</v>
      </c>
      <c r="U4" s="8"/>
      <c r="V4" s="9"/>
      <c r="W4" s="9"/>
      <c r="X4" s="22"/>
      <c r="Y4" s="11"/>
      <c r="Z4" s="11"/>
      <c r="AA4" s="11"/>
      <c r="AB4" s="11"/>
      <c r="AD4" s="23" t="s">
        <v>30</v>
      </c>
      <c r="AE4" s="1" t="s">
        <v>31</v>
      </c>
    </row>
    <row r="5" customFormat="false" ht="25.5" hidden="false" customHeight="true" outlineLevel="0" collapsed="false">
      <c r="A5" s="24" t="s">
        <v>32</v>
      </c>
      <c r="B5" s="25" t="s">
        <v>33</v>
      </c>
      <c r="C5" s="26" t="n">
        <v>150</v>
      </c>
      <c r="D5" s="26" t="n">
        <v>1400</v>
      </c>
      <c r="E5" s="26" t="n">
        <v>2000</v>
      </c>
      <c r="F5" s="13" t="n">
        <v>1.43</v>
      </c>
      <c r="G5" s="20" t="n">
        <v>1.42857142857143</v>
      </c>
      <c r="H5" s="26" t="n">
        <v>1</v>
      </c>
      <c r="I5" s="26" t="n">
        <v>1</v>
      </c>
      <c r="J5" s="26" t="n">
        <v>1</v>
      </c>
      <c r="K5" s="13" t="n">
        <v>0.01</v>
      </c>
      <c r="L5" s="20" t="n">
        <v>46.6</v>
      </c>
      <c r="M5" s="20" t="n">
        <v>0</v>
      </c>
      <c r="N5" s="20" t="n">
        <v>0</v>
      </c>
      <c r="O5" s="20" t="n">
        <v>0</v>
      </c>
      <c r="P5" s="20" t="n">
        <v>0.566037333333333</v>
      </c>
      <c r="Q5" s="20" t="n">
        <v>357.084</v>
      </c>
      <c r="R5" s="20" t="n">
        <v>2.067</v>
      </c>
      <c r="S5" s="20" t="n">
        <v>373.76</v>
      </c>
      <c r="U5" s="27" t="n">
        <v>12</v>
      </c>
      <c r="V5" s="28" t="n">
        <v>0</v>
      </c>
      <c r="W5" s="29" t="n">
        <f aca="false">D5/C5</f>
        <v>9.33333333333333</v>
      </c>
      <c r="X5" s="13"/>
      <c r="Y5" s="30" t="n">
        <v>16.5785819742489</v>
      </c>
      <c r="Z5" s="30" t="n">
        <v>4.33740075399142</v>
      </c>
      <c r="AA5" s="30" t="n">
        <v>0</v>
      </c>
      <c r="AB5" s="30" t="n">
        <v>0</v>
      </c>
      <c r="AD5" s="31" t="n">
        <v>787.4</v>
      </c>
      <c r="AE5" s="30" t="n">
        <f aca="false">AD5*1000/C5/D5*145.038/SQRT(145.038*L5)</f>
        <v>6.61491181063467</v>
      </c>
      <c r="AF5" s="32" t="n">
        <f aca="false">AD5*1000/C5/D5</f>
        <v>3.74952380952381</v>
      </c>
    </row>
    <row r="6" customFormat="false" ht="25.5" hidden="false" customHeight="true" outlineLevel="0" collapsed="false">
      <c r="A6" s="33" t="s">
        <v>34</v>
      </c>
      <c r="B6" s="34" t="s">
        <v>35</v>
      </c>
      <c r="C6" s="26" t="n">
        <v>100</v>
      </c>
      <c r="D6" s="26" t="n">
        <v>700</v>
      </c>
      <c r="E6" s="26" t="n">
        <v>1600</v>
      </c>
      <c r="F6" s="20" t="n">
        <v>2.5</v>
      </c>
      <c r="G6" s="20" t="n">
        <v>2.28571428571429</v>
      </c>
      <c r="H6" s="26" t="n">
        <v>1</v>
      </c>
      <c r="I6" s="26" t="n">
        <v>2</v>
      </c>
      <c r="J6" s="26" t="n">
        <v>1</v>
      </c>
      <c r="K6" s="20" t="n">
        <v>0.15</v>
      </c>
      <c r="L6" s="20" t="n">
        <v>27.4</v>
      </c>
      <c r="M6" s="20" t="n">
        <v>3.14</v>
      </c>
      <c r="N6" s="20" t="n">
        <v>469.2</v>
      </c>
      <c r="O6" s="20" t="n">
        <v>0</v>
      </c>
      <c r="P6" s="20" t="n">
        <v>0.436111111111111</v>
      </c>
      <c r="Q6" s="20" t="n">
        <v>608.9</v>
      </c>
      <c r="R6" s="20" t="n">
        <v>0.6</v>
      </c>
      <c r="S6" s="20" t="n">
        <v>445.6</v>
      </c>
      <c r="U6" s="35"/>
      <c r="V6" s="28" t="n">
        <v>0.142857142857143</v>
      </c>
      <c r="W6" s="29" t="n">
        <f aca="false">D6/C6</f>
        <v>7</v>
      </c>
      <c r="X6" s="35"/>
      <c r="Y6" s="30" t="n">
        <v>9.75766423357664</v>
      </c>
      <c r="Z6" s="30" t="n">
        <v>9.69153487429035</v>
      </c>
      <c r="AA6" s="30" t="n">
        <v>0</v>
      </c>
      <c r="AB6" s="30" t="n">
        <v>53.7696350364964</v>
      </c>
      <c r="AD6" s="31" t="n">
        <v>143.15</v>
      </c>
      <c r="AE6" s="30" t="n">
        <f aca="false">AD6*1000/C6/D6*145.038/SQRT(145.038*L6)</f>
        <v>4.70499246394364</v>
      </c>
      <c r="AF6" s="32" t="n">
        <f aca="false">AD6*1000/C6/D6</f>
        <v>2.045</v>
      </c>
    </row>
    <row r="7" customFormat="false" ht="25.5" hidden="false" customHeight="true" outlineLevel="0" collapsed="false">
      <c r="A7" s="33"/>
      <c r="B7" s="34" t="s">
        <v>36</v>
      </c>
      <c r="C7" s="26" t="n">
        <v>100</v>
      </c>
      <c r="D7" s="26" t="n">
        <v>700</v>
      </c>
      <c r="E7" s="26" t="n">
        <v>1600</v>
      </c>
      <c r="F7" s="20" t="n">
        <v>2.5</v>
      </c>
      <c r="G7" s="20" t="n">
        <v>2.28571428571429</v>
      </c>
      <c r="H7" s="26" t="n">
        <v>1</v>
      </c>
      <c r="I7" s="26" t="n">
        <v>2</v>
      </c>
      <c r="J7" s="26" t="n">
        <v>1</v>
      </c>
      <c r="K7" s="20" t="n">
        <v>0.25</v>
      </c>
      <c r="L7" s="20" t="n">
        <v>27.4</v>
      </c>
      <c r="M7" s="20" t="n">
        <v>3.14</v>
      </c>
      <c r="N7" s="20" t="n">
        <v>469.2</v>
      </c>
      <c r="O7" s="20" t="n">
        <v>0</v>
      </c>
      <c r="P7" s="20" t="n">
        <v>0.436111111111111</v>
      </c>
      <c r="Q7" s="20" t="n">
        <v>608.9</v>
      </c>
      <c r="R7" s="20" t="n">
        <v>0.6</v>
      </c>
      <c r="S7" s="20" t="n">
        <v>445.6</v>
      </c>
      <c r="U7" s="35"/>
      <c r="V7" s="28" t="n">
        <v>0.142857142857143</v>
      </c>
      <c r="W7" s="29" t="n">
        <f aca="false">D7/C7</f>
        <v>7</v>
      </c>
      <c r="X7" s="35"/>
      <c r="Y7" s="30" t="n">
        <v>9.75766423357664</v>
      </c>
      <c r="Z7" s="30" t="n">
        <v>9.69153487429035</v>
      </c>
      <c r="AA7" s="30" t="n">
        <v>0</v>
      </c>
      <c r="AB7" s="30" t="n">
        <v>53.7696350364964</v>
      </c>
      <c r="AD7" s="31" t="n">
        <v>160.25</v>
      </c>
      <c r="AE7" s="30" t="n">
        <f aca="false">AD7*1000/C7/D7*145.038/SQRT(145.038*L7)</f>
        <v>5.2670278892558</v>
      </c>
      <c r="AF7" s="32" t="n">
        <f aca="false">AD7*1000/C7/D7</f>
        <v>2.28928571428571</v>
      </c>
    </row>
    <row r="8" customFormat="false" ht="25.5" hidden="false" customHeight="true" outlineLevel="0" collapsed="false">
      <c r="A8" s="33"/>
      <c r="B8" s="34" t="s">
        <v>37</v>
      </c>
      <c r="C8" s="26" t="n">
        <v>100</v>
      </c>
      <c r="D8" s="26" t="n">
        <v>700</v>
      </c>
      <c r="E8" s="26" t="n">
        <v>1600</v>
      </c>
      <c r="F8" s="20" t="n">
        <v>2.5</v>
      </c>
      <c r="G8" s="20" t="n">
        <v>2.28571428571429</v>
      </c>
      <c r="H8" s="26" t="n">
        <v>1</v>
      </c>
      <c r="I8" s="26" t="n">
        <v>2</v>
      </c>
      <c r="J8" s="26" t="n">
        <v>1</v>
      </c>
      <c r="K8" s="20" t="n">
        <v>0.35</v>
      </c>
      <c r="L8" s="20" t="n">
        <v>27.4</v>
      </c>
      <c r="M8" s="20" t="n">
        <v>3.14</v>
      </c>
      <c r="N8" s="20" t="n">
        <v>469.2</v>
      </c>
      <c r="O8" s="20" t="n">
        <v>0</v>
      </c>
      <c r="P8" s="20" t="n">
        <v>0.436111111111111</v>
      </c>
      <c r="Q8" s="20" t="n">
        <v>608.9</v>
      </c>
      <c r="R8" s="20" t="n">
        <v>0.6</v>
      </c>
      <c r="S8" s="20" t="n">
        <v>445.6</v>
      </c>
      <c r="U8" s="35"/>
      <c r="V8" s="28" t="n">
        <v>0.142857142857143</v>
      </c>
      <c r="W8" s="29" t="n">
        <f aca="false">D8/C8</f>
        <v>7</v>
      </c>
      <c r="X8" s="35"/>
      <c r="Y8" s="30" t="n">
        <v>9.75766423357664</v>
      </c>
      <c r="Z8" s="30" t="n">
        <v>9.69153487429035</v>
      </c>
      <c r="AA8" s="30" t="n">
        <v>0</v>
      </c>
      <c r="AB8" s="30" t="n">
        <v>53.7696350364964</v>
      </c>
      <c r="AD8" s="31" t="n">
        <v>174</v>
      </c>
      <c r="AE8" s="30" t="n">
        <f aca="false">AD8*1000/C8/D8*145.038/SQRT(145.038*L8)</f>
        <v>5.71895695931675</v>
      </c>
      <c r="AF8" s="32" t="n">
        <f aca="false">AD8*1000/C8/D8</f>
        <v>2.48571428571429</v>
      </c>
    </row>
    <row r="9" customFormat="false" ht="25.5" hidden="false" customHeight="true" outlineLevel="0" collapsed="false">
      <c r="A9" s="29" t="s">
        <v>38</v>
      </c>
      <c r="B9" s="36" t="s">
        <v>39</v>
      </c>
      <c r="C9" s="37" t="n">
        <v>100</v>
      </c>
      <c r="D9" s="37" t="n">
        <v>1000</v>
      </c>
      <c r="E9" s="37" t="n">
        <v>1500</v>
      </c>
      <c r="F9" s="29" t="n">
        <v>1.5</v>
      </c>
      <c r="G9" s="29" t="n">
        <v>1.5</v>
      </c>
      <c r="H9" s="37" t="n">
        <v>1</v>
      </c>
      <c r="I9" s="37" t="n">
        <v>1</v>
      </c>
      <c r="J9" s="37" t="n">
        <v>1</v>
      </c>
      <c r="K9" s="29" t="n">
        <v>0</v>
      </c>
      <c r="L9" s="29" t="n">
        <v>20.15</v>
      </c>
      <c r="M9" s="29" t="n">
        <v>8.0384</v>
      </c>
      <c r="N9" s="29" t="n">
        <v>425</v>
      </c>
      <c r="O9" s="29" t="n">
        <v>0</v>
      </c>
      <c r="P9" s="29" t="n">
        <v>0.1413</v>
      </c>
      <c r="Q9" s="29" t="n">
        <v>325</v>
      </c>
      <c r="R9" s="29" t="n">
        <v>0.161567622184618</v>
      </c>
      <c r="S9" s="29" t="n">
        <v>325</v>
      </c>
      <c r="U9" s="38"/>
      <c r="V9" s="39" t="n">
        <v>0.15</v>
      </c>
      <c r="W9" s="29" t="n">
        <f aca="false">D9/C9</f>
        <v>10</v>
      </c>
      <c r="X9" s="35"/>
      <c r="Y9" s="30" t="n">
        <v>2.60592939007448</v>
      </c>
      <c r="Z9" s="30" t="n">
        <v>2.27903225806452</v>
      </c>
      <c r="AA9" s="30" t="n">
        <v>0</v>
      </c>
      <c r="AB9" s="30" t="n">
        <v>169.544416873449</v>
      </c>
      <c r="AD9" s="31" t="n">
        <v>132.645</v>
      </c>
      <c r="AE9" s="30" t="n">
        <f aca="false">AD9*1000/C9/D9*145.038/SQRT(145.038*L9)</f>
        <v>3.55872361348712</v>
      </c>
      <c r="AF9" s="32" t="n">
        <f aca="false">AD9*1000/C9/D9</f>
        <v>1.32645</v>
      </c>
    </row>
    <row r="10" customFormat="false" ht="25.5" hidden="false" customHeight="true" outlineLevel="0" collapsed="false">
      <c r="A10" s="40" t="s">
        <v>40</v>
      </c>
      <c r="B10" s="25" t="s">
        <v>41</v>
      </c>
      <c r="C10" s="13" t="n">
        <v>101.6</v>
      </c>
      <c r="D10" s="13" t="n">
        <v>1016</v>
      </c>
      <c r="E10" s="13" t="n">
        <v>1016</v>
      </c>
      <c r="F10" s="13" t="n">
        <v>1.2</v>
      </c>
      <c r="G10" s="13" t="n">
        <v>1</v>
      </c>
      <c r="H10" s="13" t="n">
        <v>1</v>
      </c>
      <c r="I10" s="13" t="n">
        <v>1</v>
      </c>
      <c r="J10" s="13" t="n">
        <v>1</v>
      </c>
      <c r="K10" s="13" t="n">
        <v>0</v>
      </c>
      <c r="L10" s="13" t="n">
        <v>46.2</v>
      </c>
      <c r="M10" s="20" t="n">
        <v>4.90873852123405</v>
      </c>
      <c r="N10" s="20" t="n">
        <v>660.518008</v>
      </c>
      <c r="O10" s="20" t="n">
        <v>1.03059947001013</v>
      </c>
      <c r="P10" s="20" t="n">
        <v>0.712335118924198</v>
      </c>
      <c r="Q10" s="20" t="n">
        <v>660.518008</v>
      </c>
      <c r="R10" s="13" t="n">
        <v>0.71</v>
      </c>
      <c r="S10" s="20" t="n">
        <v>660.518008</v>
      </c>
      <c r="U10" s="13"/>
      <c r="V10" s="13" t="n">
        <v>0.1</v>
      </c>
      <c r="W10" s="29" t="n">
        <f aca="false">D10/C10</f>
        <v>10</v>
      </c>
      <c r="X10" s="13"/>
      <c r="Y10" s="30" t="n">
        <v>10.1508178718615</v>
      </c>
      <c r="Z10" s="30" t="n">
        <v>10.1842028956765</v>
      </c>
      <c r="AA10" s="30" t="n">
        <v>4.46031047734988</v>
      </c>
      <c r="AB10" s="30" t="n">
        <v>70.179874238926</v>
      </c>
      <c r="AD10" s="31" t="n">
        <v>362.53</v>
      </c>
      <c r="AE10" s="30" t="n">
        <f aca="false">AD10*1000/C10/D10*145.038/SQRT(145.038*L10)</f>
        <v>6.22266539259537</v>
      </c>
      <c r="AF10" s="32" t="n">
        <f aca="false">AD10*1000/C10/D10</f>
        <v>3.5120163990328</v>
      </c>
    </row>
    <row r="11" customFormat="false" ht="25.5" hidden="false" customHeight="true" outlineLevel="0" collapsed="false">
      <c r="A11" s="40"/>
      <c r="B11" s="25" t="s">
        <v>42</v>
      </c>
      <c r="C11" s="13" t="n">
        <v>101.6</v>
      </c>
      <c r="D11" s="13" t="n">
        <v>1016</v>
      </c>
      <c r="E11" s="13" t="n">
        <v>1016</v>
      </c>
      <c r="F11" s="13" t="n">
        <v>1.2</v>
      </c>
      <c r="G11" s="13" t="n">
        <v>1</v>
      </c>
      <c r="H11" s="13" t="n">
        <v>1</v>
      </c>
      <c r="I11" s="13" t="n">
        <v>1</v>
      </c>
      <c r="J11" s="13" t="n">
        <v>1</v>
      </c>
      <c r="K11" s="13" t="n">
        <v>0</v>
      </c>
      <c r="L11" s="13" t="n">
        <v>46.2</v>
      </c>
      <c r="M11" s="20" t="n">
        <v>9.35728280610241</v>
      </c>
      <c r="N11" s="41" t="n">
        <v>444.022544</v>
      </c>
      <c r="O11" s="20" t="n">
        <v>1.03059947001013</v>
      </c>
      <c r="P11" s="20" t="n">
        <v>0.831265416139859</v>
      </c>
      <c r="Q11" s="20" t="n">
        <v>632.938968</v>
      </c>
      <c r="R11" s="13" t="n">
        <v>0.83</v>
      </c>
      <c r="S11" s="20" t="n">
        <v>632.938968</v>
      </c>
      <c r="U11" s="13"/>
      <c r="V11" s="13" t="n">
        <v>0.1</v>
      </c>
      <c r="W11" s="29" t="n">
        <f aca="false">D11/C11</f>
        <v>10</v>
      </c>
      <c r="X11" s="13"/>
      <c r="Y11" s="30" t="n">
        <v>11.3709814597403</v>
      </c>
      <c r="Z11" s="30" t="n">
        <v>11.3883176325899</v>
      </c>
      <c r="AA11" s="30" t="n">
        <v>4.46031047734988</v>
      </c>
      <c r="AB11" s="30" t="n">
        <v>89.9316994911916</v>
      </c>
      <c r="AD11" s="31" t="n">
        <v>445.210650969432</v>
      </c>
      <c r="AE11" s="30" t="n">
        <f aca="false">AD11*1000/C11/D11*145.038/SQRT(145.038*L11)</f>
        <v>7.64184180675348</v>
      </c>
      <c r="AF11" s="32" t="n">
        <f aca="false">AD11*1000/C11/D11</f>
        <v>4.31298680723999</v>
      </c>
    </row>
    <row r="12" customFormat="false" ht="25.5" hidden="false" customHeight="true" outlineLevel="0" collapsed="false">
      <c r="A12" s="40"/>
      <c r="B12" s="25" t="s">
        <v>43</v>
      </c>
      <c r="C12" s="13" t="n">
        <v>101.6</v>
      </c>
      <c r="D12" s="13" t="n">
        <v>1016</v>
      </c>
      <c r="E12" s="13" t="n">
        <v>1320.8</v>
      </c>
      <c r="F12" s="13" t="n">
        <v>1.5</v>
      </c>
      <c r="G12" s="13" t="n">
        <v>1</v>
      </c>
      <c r="H12" s="13" t="n">
        <v>1</v>
      </c>
      <c r="I12" s="13" t="n">
        <v>1</v>
      </c>
      <c r="J12" s="13" t="n">
        <v>1</v>
      </c>
      <c r="K12" s="13" t="n">
        <v>0</v>
      </c>
      <c r="L12" s="13" t="n">
        <v>46.88</v>
      </c>
      <c r="M12" s="20" t="n">
        <v>9.35728280610241</v>
      </c>
      <c r="N12" s="41" t="n">
        <v>481.254248</v>
      </c>
      <c r="O12" s="20" t="n">
        <v>1.03059947001013</v>
      </c>
      <c r="P12" s="20" t="n">
        <v>0.712335118924198</v>
      </c>
      <c r="Q12" s="13" t="n">
        <v>670.860148</v>
      </c>
      <c r="R12" s="13" t="n">
        <v>0.71</v>
      </c>
      <c r="S12" s="20" t="n">
        <v>670.860148</v>
      </c>
      <c r="U12" s="13"/>
      <c r="V12" s="13" t="n">
        <v>0.1</v>
      </c>
      <c r="W12" s="29" t="n">
        <f aca="false">D12/C12</f>
        <v>10</v>
      </c>
      <c r="X12" s="13"/>
      <c r="Y12" s="30" t="n">
        <v>10.1602112858362</v>
      </c>
      <c r="Z12" s="30" t="n">
        <v>10.1936272036494</v>
      </c>
      <c r="AA12" s="30" t="n">
        <v>4.39561314107433</v>
      </c>
      <c r="AB12" s="30" t="n">
        <v>96.0587052084929</v>
      </c>
      <c r="AD12" s="31" t="n">
        <v>390.576975685589</v>
      </c>
      <c r="AE12" s="30" t="n">
        <f aca="false">AD12*1000/C12/D12*145.038/SQRT(145.038*L12)</f>
        <v>6.65527985150647</v>
      </c>
      <c r="AF12" s="32" t="n">
        <f aca="false">AD12*1000/C12/D12</f>
        <v>3.78372201939819</v>
      </c>
    </row>
    <row r="13" customFormat="false" ht="25.5" hidden="false" customHeight="true" outlineLevel="0" collapsed="false">
      <c r="A13" s="42" t="s">
        <v>44</v>
      </c>
      <c r="B13" s="25" t="s">
        <v>45</v>
      </c>
      <c r="C13" s="26" t="n">
        <v>200</v>
      </c>
      <c r="D13" s="26" t="n">
        <v>1500</v>
      </c>
      <c r="E13" s="26" t="n">
        <v>3000</v>
      </c>
      <c r="F13" s="13" t="n">
        <v>2</v>
      </c>
      <c r="G13" s="20" t="n">
        <v>2</v>
      </c>
      <c r="H13" s="26" t="n">
        <v>1</v>
      </c>
      <c r="I13" s="26" t="n">
        <v>1</v>
      </c>
      <c r="J13" s="26" t="n">
        <v>1</v>
      </c>
      <c r="K13" s="20" t="n">
        <v>0.0700456621004566</v>
      </c>
      <c r="L13" s="20" t="n">
        <v>36.5</v>
      </c>
      <c r="M13" s="20" t="n">
        <v>12.7485046666667</v>
      </c>
      <c r="N13" s="20" t="n">
        <v>617</v>
      </c>
      <c r="O13" s="20" t="n">
        <v>0</v>
      </c>
      <c r="P13" s="20" t="n">
        <v>0.923050465116279</v>
      </c>
      <c r="Q13" s="20" t="n">
        <v>470</v>
      </c>
      <c r="R13" s="20" t="n">
        <v>1.1025325</v>
      </c>
      <c r="S13" s="20" t="n">
        <v>470</v>
      </c>
      <c r="U13" s="27" t="n">
        <v>23</v>
      </c>
      <c r="V13" s="28" t="n">
        <v>0.2</v>
      </c>
      <c r="W13" s="29" t="n">
        <f aca="false">D13/C13</f>
        <v>7.5</v>
      </c>
      <c r="X13" s="13"/>
      <c r="Y13" s="30" t="n">
        <v>14.1969938356164</v>
      </c>
      <c r="Z13" s="30" t="n">
        <v>11.885855304237</v>
      </c>
      <c r="AA13" s="30" t="n">
        <v>0</v>
      </c>
      <c r="AB13" s="30" t="n">
        <v>215.502119981735</v>
      </c>
      <c r="AD13" s="31" t="n">
        <v>2016.27</v>
      </c>
      <c r="AE13" s="30" t="n">
        <f aca="false">AD13*1000/C13/D13*145.038/SQRT(145.038*L13)</f>
        <v>13.3974425246309</v>
      </c>
      <c r="AF13" s="32" t="n">
        <f aca="false">AD13*1000/C13/D13</f>
        <v>6.7209</v>
      </c>
    </row>
    <row r="14" customFormat="false" ht="25.5" hidden="false" customHeight="true" outlineLevel="0" collapsed="false">
      <c r="A14" s="42"/>
      <c r="B14" s="25" t="s">
        <v>46</v>
      </c>
      <c r="C14" s="26" t="n">
        <v>200</v>
      </c>
      <c r="D14" s="26" t="n">
        <v>1500</v>
      </c>
      <c r="E14" s="26" t="n">
        <v>3000</v>
      </c>
      <c r="F14" s="13" t="n">
        <v>2</v>
      </c>
      <c r="G14" s="20" t="n">
        <v>2</v>
      </c>
      <c r="H14" s="26" t="n">
        <v>1</v>
      </c>
      <c r="I14" s="26" t="n">
        <v>1</v>
      </c>
      <c r="J14" s="26" t="n">
        <v>1</v>
      </c>
      <c r="K14" s="20" t="n">
        <v>0.0700456621004566</v>
      </c>
      <c r="L14" s="20" t="n">
        <v>36.5</v>
      </c>
      <c r="M14" s="20" t="n">
        <v>6.37425233333333</v>
      </c>
      <c r="N14" s="20" t="n">
        <v>617</v>
      </c>
      <c r="O14" s="20" t="n">
        <v>0</v>
      </c>
      <c r="P14" s="20" t="n">
        <v>0.675267466666667</v>
      </c>
      <c r="Q14" s="20" t="n">
        <v>667</v>
      </c>
      <c r="R14" s="20" t="n">
        <v>0.562722888888889</v>
      </c>
      <c r="S14" s="20" t="n">
        <v>667</v>
      </c>
      <c r="U14" s="27" t="n">
        <v>23</v>
      </c>
      <c r="V14" s="28" t="n">
        <v>0.2</v>
      </c>
      <c r="W14" s="29" t="n">
        <f aca="false">D14/C14</f>
        <v>7.5</v>
      </c>
      <c r="X14" s="13"/>
      <c r="Y14" s="30" t="n">
        <v>10.2831826544901</v>
      </c>
      <c r="Z14" s="30" t="n">
        <v>12.3398191853881</v>
      </c>
      <c r="AA14" s="30" t="n">
        <v>0</v>
      </c>
      <c r="AB14" s="30" t="n">
        <v>107.751059990868</v>
      </c>
      <c r="AD14" s="31" t="n">
        <v>1959.77</v>
      </c>
      <c r="AE14" s="30" t="n">
        <f aca="false">AD14*1000/C14/D14*145.038/SQRT(145.038*L14)</f>
        <v>13.0220188449443</v>
      </c>
      <c r="AF14" s="32" t="n">
        <f aca="false">AD14*1000/C14/D14</f>
        <v>6.53256666666667</v>
      </c>
    </row>
    <row r="15" customFormat="false" ht="25.5" hidden="false" customHeight="true" outlineLevel="0" collapsed="false">
      <c r="A15" s="42"/>
      <c r="B15" s="25" t="s">
        <v>47</v>
      </c>
      <c r="C15" s="26" t="n">
        <v>200</v>
      </c>
      <c r="D15" s="26" t="n">
        <v>1500</v>
      </c>
      <c r="E15" s="26" t="n">
        <v>3000</v>
      </c>
      <c r="F15" s="13" t="n">
        <v>2</v>
      </c>
      <c r="G15" s="20" t="n">
        <v>2</v>
      </c>
      <c r="H15" s="26" t="n">
        <v>1</v>
      </c>
      <c r="I15" s="26" t="n">
        <v>1</v>
      </c>
      <c r="J15" s="26" t="n">
        <v>1</v>
      </c>
      <c r="K15" s="20" t="n">
        <v>0.0700456621004566</v>
      </c>
      <c r="L15" s="20" t="n">
        <v>36.5</v>
      </c>
      <c r="M15" s="20" t="n">
        <v>9.5613785</v>
      </c>
      <c r="N15" s="20" t="n">
        <v>617</v>
      </c>
      <c r="O15" s="20" t="n">
        <v>0</v>
      </c>
      <c r="P15" s="20" t="n">
        <v>0.46152523255814</v>
      </c>
      <c r="Q15" s="20" t="n">
        <v>470</v>
      </c>
      <c r="R15" s="20" t="n">
        <v>0.6615195</v>
      </c>
      <c r="S15" s="20" t="n">
        <v>470</v>
      </c>
      <c r="U15" s="27" t="n">
        <v>23</v>
      </c>
      <c r="V15" s="28" t="n">
        <v>0.2</v>
      </c>
      <c r="W15" s="29" t="n">
        <f aca="false">D15/C15</f>
        <v>7.5</v>
      </c>
      <c r="X15" s="13"/>
      <c r="Y15" s="30" t="n">
        <v>8.51819630136986</v>
      </c>
      <c r="Z15" s="30" t="n">
        <v>5.94292765211851</v>
      </c>
      <c r="AA15" s="30" t="n">
        <v>0</v>
      </c>
      <c r="AB15" s="30" t="n">
        <v>161.626589986301</v>
      </c>
      <c r="AD15" s="31" t="n">
        <v>1336.91</v>
      </c>
      <c r="AE15" s="30" t="n">
        <f aca="false">AD15*1000/C15/D15*145.038/SQRT(145.038*L15)</f>
        <v>8.88332162141196</v>
      </c>
      <c r="AF15" s="32" t="n">
        <f aca="false">AD15*1000/C15/D15</f>
        <v>4.45636666666667</v>
      </c>
    </row>
    <row r="16" customFormat="false" ht="25.5" hidden="false" customHeight="true" outlineLevel="0" collapsed="false">
      <c r="A16" s="42"/>
      <c r="B16" s="25" t="s">
        <v>48</v>
      </c>
      <c r="C16" s="26" t="n">
        <v>200</v>
      </c>
      <c r="D16" s="26" t="n">
        <v>1500</v>
      </c>
      <c r="E16" s="26" t="n">
        <v>3000</v>
      </c>
      <c r="F16" s="13" t="n">
        <v>2</v>
      </c>
      <c r="G16" s="20" t="n">
        <v>2</v>
      </c>
      <c r="H16" s="26" t="n">
        <v>1</v>
      </c>
      <c r="I16" s="26" t="n">
        <v>1</v>
      </c>
      <c r="J16" s="26" t="n">
        <v>1</v>
      </c>
      <c r="K16" s="20" t="n">
        <v>0.0700456621004566</v>
      </c>
      <c r="L16" s="20" t="n">
        <v>36.5</v>
      </c>
      <c r="M16" s="20" t="n">
        <v>9.5613785</v>
      </c>
      <c r="N16" s="20" t="n">
        <v>617</v>
      </c>
      <c r="O16" s="20" t="n">
        <v>0</v>
      </c>
      <c r="P16" s="20" t="n">
        <v>0.337633733333333</v>
      </c>
      <c r="Q16" s="20" t="n">
        <v>667</v>
      </c>
      <c r="R16" s="20" t="n">
        <v>0.422042166666667</v>
      </c>
      <c r="S16" s="20" t="n">
        <v>667</v>
      </c>
      <c r="U16" s="27" t="n">
        <v>23</v>
      </c>
      <c r="V16" s="28" t="n">
        <v>0.2</v>
      </c>
      <c r="W16" s="29" t="n">
        <f aca="false">D16/C16</f>
        <v>7.5</v>
      </c>
      <c r="X16" s="13"/>
      <c r="Y16" s="30" t="n">
        <v>7.71238699086758</v>
      </c>
      <c r="Z16" s="30" t="n">
        <v>6.16990959269406</v>
      </c>
      <c r="AA16" s="30" t="n">
        <v>0</v>
      </c>
      <c r="AB16" s="30" t="n">
        <v>161.626589986301</v>
      </c>
      <c r="AD16" s="31" t="n">
        <v>1447.31</v>
      </c>
      <c r="AE16" s="30" t="n">
        <f aca="false">AD16*1000/C16/D16*145.038/SQRT(145.038*L16)</f>
        <v>9.61689284685263</v>
      </c>
      <c r="AF16" s="32" t="n">
        <f aca="false">AD16*1000/C16/D16</f>
        <v>4.82436666666667</v>
      </c>
    </row>
    <row r="17" customFormat="false" ht="25.5" hidden="false" customHeight="true" outlineLevel="0" collapsed="false">
      <c r="A17" s="42"/>
      <c r="B17" s="25" t="s">
        <v>49</v>
      </c>
      <c r="C17" s="26" t="n">
        <v>200</v>
      </c>
      <c r="D17" s="26" t="n">
        <v>1500</v>
      </c>
      <c r="E17" s="26" t="n">
        <v>3000</v>
      </c>
      <c r="F17" s="13" t="n">
        <v>2</v>
      </c>
      <c r="G17" s="20" t="n">
        <v>2</v>
      </c>
      <c r="H17" s="26" t="n">
        <v>1</v>
      </c>
      <c r="I17" s="26" t="n">
        <v>2</v>
      </c>
      <c r="J17" s="26" t="n">
        <v>1</v>
      </c>
      <c r="K17" s="20" t="n">
        <v>0.0699912510936133</v>
      </c>
      <c r="L17" s="20" t="n">
        <v>38.1</v>
      </c>
      <c r="M17" s="20" t="n">
        <v>10.55365775</v>
      </c>
      <c r="N17" s="20" t="n">
        <v>617</v>
      </c>
      <c r="O17" s="20" t="n">
        <v>0</v>
      </c>
      <c r="P17" s="20" t="n">
        <v>0.588896046511628</v>
      </c>
      <c r="Q17" s="20" t="n">
        <v>667</v>
      </c>
      <c r="R17" s="20" t="n">
        <v>0.690964744223861</v>
      </c>
      <c r="S17" s="20" t="n">
        <v>667</v>
      </c>
      <c r="U17" s="27" t="n">
        <v>23</v>
      </c>
      <c r="V17" s="28" t="n">
        <v>0.133333333333333</v>
      </c>
      <c r="W17" s="29" t="n">
        <f aca="false">D17/C17</f>
        <v>7.5</v>
      </c>
      <c r="X17" s="13"/>
      <c r="Y17" s="30" t="n">
        <v>12.0964169133154</v>
      </c>
      <c r="Z17" s="30" t="n">
        <v>10.3095449612403</v>
      </c>
      <c r="AA17" s="30" t="n">
        <v>0</v>
      </c>
      <c r="AB17" s="30" t="n">
        <v>170.908315793963</v>
      </c>
      <c r="AD17" s="31" t="n">
        <v>1429.84</v>
      </c>
      <c r="AE17" s="30" t="n">
        <f aca="false">AD17*1000/C17/D17*145.038/SQRT(145.038*L17)</f>
        <v>9.29917886044868</v>
      </c>
      <c r="AF17" s="32" t="n">
        <f aca="false">AD17*1000/C17/D17</f>
        <v>4.76613333333333</v>
      </c>
    </row>
    <row r="18" customFormat="false" ht="25.5" hidden="false" customHeight="true" outlineLevel="0" collapsed="false">
      <c r="A18" s="42"/>
      <c r="B18" s="25" t="s">
        <v>50</v>
      </c>
      <c r="C18" s="26" t="n">
        <v>200</v>
      </c>
      <c r="D18" s="26" t="n">
        <v>1500</v>
      </c>
      <c r="E18" s="26" t="n">
        <v>3000</v>
      </c>
      <c r="F18" s="13" t="n">
        <v>2</v>
      </c>
      <c r="G18" s="20" t="n">
        <v>2</v>
      </c>
      <c r="H18" s="26" t="n">
        <v>1</v>
      </c>
      <c r="I18" s="26" t="n">
        <v>2</v>
      </c>
      <c r="J18" s="26" t="n">
        <v>1</v>
      </c>
      <c r="K18" s="20" t="n">
        <v>0.0700272479564033</v>
      </c>
      <c r="L18" s="20" t="n">
        <v>36.7</v>
      </c>
      <c r="M18" s="20" t="n">
        <v>10.55365775</v>
      </c>
      <c r="N18" s="20" t="n">
        <v>617</v>
      </c>
      <c r="O18" s="20" t="n">
        <v>0</v>
      </c>
      <c r="P18" s="20" t="n">
        <v>0.675267466666667</v>
      </c>
      <c r="Q18" s="20" t="n">
        <v>667</v>
      </c>
      <c r="R18" s="20" t="n">
        <v>0.691872404371585</v>
      </c>
      <c r="S18" s="20" t="n">
        <v>667</v>
      </c>
      <c r="U18" s="27" t="n">
        <v>23</v>
      </c>
      <c r="V18" s="28" t="n">
        <v>0.133333333333333</v>
      </c>
      <c r="W18" s="29" t="n">
        <f aca="false">D18/C18</f>
        <v>7.5</v>
      </c>
      <c r="X18" s="13"/>
      <c r="Y18" s="30" t="n">
        <v>12.5743567769986</v>
      </c>
      <c r="Z18" s="30" t="n">
        <v>12.2725722143506</v>
      </c>
      <c r="AA18" s="30" t="n">
        <v>0</v>
      </c>
      <c r="AB18" s="30" t="n">
        <v>177.427979066758</v>
      </c>
      <c r="AD18" s="31" t="n">
        <v>1492.16</v>
      </c>
      <c r="AE18" s="30" t="n">
        <f aca="false">AD18*1000/C18/D18*145.038/SQRT(145.038*L18)</f>
        <v>9.8878531568167</v>
      </c>
      <c r="AF18" s="32" t="n">
        <f aca="false">AD18*1000/C18/D18</f>
        <v>4.97386666666667</v>
      </c>
    </row>
    <row r="19" customFormat="false" ht="25.5" hidden="false" customHeight="true" outlineLevel="0" collapsed="false">
      <c r="A19" s="42"/>
      <c r="B19" s="25" t="s">
        <v>51</v>
      </c>
      <c r="C19" s="26" t="n">
        <v>200</v>
      </c>
      <c r="D19" s="26" t="n">
        <v>1500</v>
      </c>
      <c r="E19" s="26" t="n">
        <v>3000</v>
      </c>
      <c r="F19" s="13" t="n">
        <v>2</v>
      </c>
      <c r="G19" s="20" t="n">
        <v>2</v>
      </c>
      <c r="H19" s="26" t="n">
        <v>1</v>
      </c>
      <c r="I19" s="26" t="n">
        <v>2</v>
      </c>
      <c r="J19" s="26" t="n">
        <v>1</v>
      </c>
      <c r="K19" s="20" t="n">
        <v>0.0700698080279232</v>
      </c>
      <c r="L19" s="20" t="n">
        <v>38.2</v>
      </c>
      <c r="M19" s="20" t="n">
        <v>10.55365775</v>
      </c>
      <c r="N19" s="20" t="n">
        <v>617</v>
      </c>
      <c r="O19" s="20" t="n">
        <v>0</v>
      </c>
      <c r="P19" s="20" t="n">
        <v>0.7913290625</v>
      </c>
      <c r="Q19" s="20" t="n">
        <v>563</v>
      </c>
      <c r="R19" s="20" t="n">
        <v>0.80645</v>
      </c>
      <c r="S19" s="20" t="n">
        <v>563</v>
      </c>
      <c r="U19" s="27" t="n">
        <v>23</v>
      </c>
      <c r="V19" s="28" t="n">
        <v>0.133333333333333</v>
      </c>
      <c r="W19" s="29" t="n">
        <f aca="false">D19/C19</f>
        <v>7.5</v>
      </c>
      <c r="X19" s="13"/>
      <c r="Y19" s="30" t="n">
        <v>11.885637434555</v>
      </c>
      <c r="Z19" s="30" t="n">
        <v>11.6627817326571</v>
      </c>
      <c r="AA19" s="30" t="n">
        <v>0</v>
      </c>
      <c r="AB19" s="30" t="n">
        <v>170.460911825916</v>
      </c>
      <c r="AD19" s="31" t="n">
        <v>1400.06</v>
      </c>
      <c r="AE19" s="30" t="n">
        <f aca="false">AD19*1000/C19/D19*145.038/SQRT(145.038*L19)</f>
        <v>9.09357416058182</v>
      </c>
      <c r="AF19" s="32" t="n">
        <f aca="false">AD19*1000/C19/D19</f>
        <v>4.66686666666667</v>
      </c>
    </row>
    <row r="20" customFormat="false" ht="25.5" hidden="false" customHeight="true" outlineLevel="0" collapsed="false">
      <c r="A20" s="42"/>
      <c r="B20" s="25" t="s">
        <v>52</v>
      </c>
      <c r="C20" s="26" t="n">
        <v>200</v>
      </c>
      <c r="D20" s="26" t="n">
        <v>1500</v>
      </c>
      <c r="E20" s="26" t="n">
        <v>3000</v>
      </c>
      <c r="F20" s="13" t="n">
        <v>2</v>
      </c>
      <c r="G20" s="20" t="n">
        <v>2</v>
      </c>
      <c r="H20" s="26" t="n">
        <v>1</v>
      </c>
      <c r="I20" s="26" t="n">
        <v>2</v>
      </c>
      <c r="J20" s="26" t="n">
        <v>1</v>
      </c>
      <c r="K20" s="20" t="n">
        <v>0.0699872286079183</v>
      </c>
      <c r="L20" s="20" t="n">
        <v>26.1</v>
      </c>
      <c r="M20" s="20" t="n">
        <v>10.5661785</v>
      </c>
      <c r="N20" s="20" t="n">
        <v>617</v>
      </c>
      <c r="O20" s="20" t="n">
        <v>0</v>
      </c>
      <c r="P20" s="43" t="n">
        <v>0.419</v>
      </c>
      <c r="Q20" s="20" t="n">
        <v>642</v>
      </c>
      <c r="R20" s="43" t="n">
        <v>0.6204</v>
      </c>
      <c r="S20" s="20" t="n">
        <v>642</v>
      </c>
      <c r="U20" s="27" t="n">
        <v>23</v>
      </c>
      <c r="V20" s="28" t="n">
        <v>0.133333333333333</v>
      </c>
      <c r="W20" s="29" t="n">
        <f aca="false">D20/C20</f>
        <v>7.5</v>
      </c>
      <c r="X20" s="13"/>
      <c r="Y20" s="30" t="n">
        <v>15.2604137931035</v>
      </c>
      <c r="Z20" s="30" t="n">
        <v>10.3064367816092</v>
      </c>
      <c r="AA20" s="30" t="n">
        <v>0</v>
      </c>
      <c r="AB20" s="30" t="n">
        <v>249.782840402299</v>
      </c>
      <c r="AD20" s="31" t="n">
        <v>1401.45</v>
      </c>
      <c r="AE20" s="30" t="n">
        <f aca="false">AD20*1000/C20/D20*145.038/SQRT(145.038*L20)</f>
        <v>11.0122737984179</v>
      </c>
      <c r="AF20" s="32" t="n">
        <f aca="false">AD20*1000/C20/D20</f>
        <v>4.6715</v>
      </c>
    </row>
    <row r="21" customFormat="false" ht="25.5" hidden="false" customHeight="true" outlineLevel="0" collapsed="false">
      <c r="A21" s="42" t="s">
        <v>53</v>
      </c>
      <c r="B21" s="25" t="s">
        <v>54</v>
      </c>
      <c r="C21" s="26" t="n">
        <v>200</v>
      </c>
      <c r="D21" s="13" t="n">
        <v>1500</v>
      </c>
      <c r="E21" s="26" t="n">
        <v>1500</v>
      </c>
      <c r="F21" s="26" t="n">
        <v>1</v>
      </c>
      <c r="G21" s="20" t="n">
        <v>1</v>
      </c>
      <c r="H21" s="26" t="n">
        <v>1</v>
      </c>
      <c r="I21" s="26" t="n">
        <v>1</v>
      </c>
      <c r="J21" s="26" t="n">
        <v>1</v>
      </c>
      <c r="K21" s="20" t="n">
        <v>0.0700063011972275</v>
      </c>
      <c r="L21" s="20" t="n">
        <v>52.9</v>
      </c>
      <c r="M21" s="20" t="n">
        <v>9.5613785</v>
      </c>
      <c r="N21" s="20" t="n">
        <v>617</v>
      </c>
      <c r="O21" s="20" t="n">
        <v>0</v>
      </c>
      <c r="P21" s="20" t="n">
        <v>0.923050465116279</v>
      </c>
      <c r="Q21" s="20" t="n">
        <v>470</v>
      </c>
      <c r="R21" s="20" t="n">
        <v>1.10309172049172</v>
      </c>
      <c r="S21" s="20" t="n">
        <v>470</v>
      </c>
      <c r="U21" s="27"/>
      <c r="V21" s="28" t="n">
        <v>0.2</v>
      </c>
      <c r="W21" s="29" t="n">
        <f aca="false">D21/C21</f>
        <v>7.5</v>
      </c>
      <c r="X21" s="13"/>
      <c r="Y21" s="30" t="n">
        <v>9.8006258720436</v>
      </c>
      <c r="Z21" s="30" t="n">
        <v>8.20101547456808</v>
      </c>
      <c r="AA21" s="30" t="n">
        <v>0</v>
      </c>
      <c r="AB21" s="30" t="n">
        <v>111.519291767486</v>
      </c>
      <c r="AD21" s="31" t="n">
        <v>2317.715</v>
      </c>
      <c r="AE21" s="30" t="n">
        <f aca="false">AD21*1000/C21/D21*145.038/SQRT(145.038*L21)</f>
        <v>12.7923944400711</v>
      </c>
      <c r="AF21" s="32" t="n">
        <f aca="false">AD21*1000/C21/D21</f>
        <v>7.72571666666667</v>
      </c>
    </row>
    <row r="22" customFormat="false" ht="25.5" hidden="false" customHeight="true" outlineLevel="0" collapsed="false">
      <c r="A22" s="42"/>
      <c r="B22" s="25" t="s">
        <v>55</v>
      </c>
      <c r="C22" s="26" t="n">
        <v>200</v>
      </c>
      <c r="D22" s="13" t="n">
        <v>1500</v>
      </c>
      <c r="E22" s="26" t="n">
        <v>1500</v>
      </c>
      <c r="F22" s="26" t="n">
        <v>1</v>
      </c>
      <c r="G22" s="20" t="n">
        <v>1</v>
      </c>
      <c r="H22" s="26" t="n">
        <v>1</v>
      </c>
      <c r="I22" s="26" t="n">
        <v>1</v>
      </c>
      <c r="J22" s="26" t="n">
        <v>1</v>
      </c>
      <c r="K22" s="20" t="n">
        <v>0.0700063011972275</v>
      </c>
      <c r="L22" s="20" t="n">
        <v>52.9</v>
      </c>
      <c r="M22" s="20" t="n">
        <v>9.5613785</v>
      </c>
      <c r="N22" s="20" t="n">
        <v>617</v>
      </c>
      <c r="O22" s="20" t="n">
        <v>0</v>
      </c>
      <c r="P22" s="20" t="n">
        <v>0.677072994652406</v>
      </c>
      <c r="Q22" s="20" t="n">
        <v>667</v>
      </c>
      <c r="R22" s="20" t="n">
        <v>0.703760387635414</v>
      </c>
      <c r="S22" s="20" t="n">
        <v>667</v>
      </c>
      <c r="U22" s="27"/>
      <c r="V22" s="28" t="n">
        <v>0.2</v>
      </c>
      <c r="W22" s="29" t="n">
        <f aca="false">D22/C22</f>
        <v>7.5</v>
      </c>
      <c r="X22" s="13"/>
      <c r="Y22" s="30" t="n">
        <v>8.87350053975087</v>
      </c>
      <c r="Z22" s="30" t="n">
        <v>8.53700732387817</v>
      </c>
      <c r="AA22" s="30" t="n">
        <v>0</v>
      </c>
      <c r="AB22" s="30" t="n">
        <v>111.519291767486</v>
      </c>
      <c r="AD22" s="31" t="n">
        <v>2143.69</v>
      </c>
      <c r="AE22" s="30" t="n">
        <f aca="false">AD22*1000/C22/D22*145.038/SQRT(145.038*L22)</f>
        <v>11.8318809850374</v>
      </c>
      <c r="AF22" s="32" t="n">
        <f aca="false">AD22*1000/C22/D22</f>
        <v>7.14563333333333</v>
      </c>
    </row>
    <row r="23" customFormat="false" ht="25.5" hidden="false" customHeight="true" outlineLevel="0" collapsed="false">
      <c r="A23" s="42"/>
      <c r="B23" s="25" t="s">
        <v>56</v>
      </c>
      <c r="C23" s="26" t="n">
        <v>200</v>
      </c>
      <c r="D23" s="13" t="n">
        <v>1500</v>
      </c>
      <c r="E23" s="26" t="n">
        <v>1500</v>
      </c>
      <c r="F23" s="26" t="n">
        <v>1</v>
      </c>
      <c r="G23" s="20" t="n">
        <v>1</v>
      </c>
      <c r="H23" s="26" t="n">
        <v>1</v>
      </c>
      <c r="I23" s="26" t="n">
        <v>2</v>
      </c>
      <c r="J23" s="26" t="n">
        <v>1</v>
      </c>
      <c r="K23" s="20" t="n">
        <v>0.0700065487884741</v>
      </c>
      <c r="L23" s="20" t="n">
        <v>50.9</v>
      </c>
      <c r="M23" s="20" t="n">
        <v>3.969117</v>
      </c>
      <c r="N23" s="20" t="n">
        <v>653</v>
      </c>
      <c r="O23" s="20" t="n">
        <v>0</v>
      </c>
      <c r="P23" s="20" t="n">
        <v>0.923050465116279</v>
      </c>
      <c r="Q23" s="20" t="n">
        <v>470</v>
      </c>
      <c r="R23" s="20" t="n">
        <v>1.08303747655092</v>
      </c>
      <c r="S23" s="20" t="n">
        <v>470</v>
      </c>
      <c r="U23" s="27"/>
      <c r="V23" s="28" t="n">
        <v>0.133333333333333</v>
      </c>
      <c r="W23" s="29" t="n">
        <f aca="false">D23/C23</f>
        <v>7.5</v>
      </c>
      <c r="X23" s="13"/>
      <c r="Y23" s="30" t="n">
        <v>10.0005425143208</v>
      </c>
      <c r="Z23" s="30" t="n">
        <v>8.52325576826427</v>
      </c>
      <c r="AA23" s="30" t="n">
        <v>0</v>
      </c>
      <c r="AB23" s="30" t="n">
        <v>50.9201061100197</v>
      </c>
      <c r="AD23" s="31" t="n">
        <v>1527.67</v>
      </c>
      <c r="AE23" s="30" t="n">
        <f aca="false">AD23*1000/C23/D23*145.038/SQRT(145.038*L23)</f>
        <v>8.59587923673436</v>
      </c>
      <c r="AF23" s="32" t="n">
        <f aca="false">AD23*1000/C23/D23</f>
        <v>5.09223333333333</v>
      </c>
    </row>
    <row r="24" customFormat="false" ht="25.5" hidden="false" customHeight="true" outlineLevel="0" collapsed="false">
      <c r="A24" s="42"/>
      <c r="B24" s="25" t="s">
        <v>57</v>
      </c>
      <c r="C24" s="26" t="n">
        <v>200</v>
      </c>
      <c r="D24" s="13" t="n">
        <v>1500</v>
      </c>
      <c r="E24" s="26" t="n">
        <v>1500</v>
      </c>
      <c r="F24" s="26" t="n">
        <v>1</v>
      </c>
      <c r="G24" s="20" t="n">
        <v>1</v>
      </c>
      <c r="H24" s="26" t="n">
        <v>1</v>
      </c>
      <c r="I24" s="26" t="n">
        <v>2</v>
      </c>
      <c r="J24" s="26" t="n">
        <v>1</v>
      </c>
      <c r="K24" s="20" t="n">
        <v>0.0700065487884741</v>
      </c>
      <c r="L24" s="20" t="n">
        <v>50.9</v>
      </c>
      <c r="M24" s="20" t="n">
        <v>3.969117</v>
      </c>
      <c r="N24" s="20" t="n">
        <v>653</v>
      </c>
      <c r="O24" s="20" t="n">
        <v>0</v>
      </c>
      <c r="P24" s="20" t="n">
        <v>0.677072994652406</v>
      </c>
      <c r="Q24" s="20" t="n">
        <v>667</v>
      </c>
      <c r="R24" s="20" t="n">
        <v>0.69096600052568</v>
      </c>
      <c r="S24" s="20" t="n">
        <v>667</v>
      </c>
      <c r="U24" s="27"/>
      <c r="V24" s="28" t="n">
        <v>0.133333333333333</v>
      </c>
      <c r="W24" s="29" t="n">
        <f aca="false">D24/C24</f>
        <v>7.5</v>
      </c>
      <c r="X24" s="13"/>
      <c r="Y24" s="30" t="n">
        <v>9.05450535069997</v>
      </c>
      <c r="Z24" s="30" t="n">
        <v>8.87244965487535</v>
      </c>
      <c r="AA24" s="30" t="n">
        <v>0</v>
      </c>
      <c r="AB24" s="30" t="n">
        <v>50.9201061100197</v>
      </c>
      <c r="AD24" s="31" t="n">
        <v>1368.715</v>
      </c>
      <c r="AE24" s="30" t="n">
        <f aca="false">AD24*1000/C24/D24*145.038/SQRT(145.038*L24)</f>
        <v>7.70147273266273</v>
      </c>
      <c r="AF24" s="32" t="n">
        <f aca="false">AD24*1000/C24/D24</f>
        <v>4.56238333333333</v>
      </c>
    </row>
    <row r="25" customFormat="false" ht="25.5" hidden="false" customHeight="true" outlineLevel="0" collapsed="false">
      <c r="A25" s="42"/>
      <c r="B25" s="25" t="s">
        <v>58</v>
      </c>
      <c r="C25" s="26" t="n">
        <v>200</v>
      </c>
      <c r="D25" s="13" t="n">
        <v>1500</v>
      </c>
      <c r="E25" s="26" t="n">
        <v>1500</v>
      </c>
      <c r="F25" s="26" t="n">
        <v>1</v>
      </c>
      <c r="G25" s="20" t="n">
        <v>1</v>
      </c>
      <c r="H25" s="26" t="n">
        <v>1</v>
      </c>
      <c r="I25" s="26" t="n">
        <v>2</v>
      </c>
      <c r="J25" s="26" t="n">
        <v>1</v>
      </c>
      <c r="K25" s="20" t="n">
        <v>0.0700065487884741</v>
      </c>
      <c r="L25" s="20" t="n">
        <v>50.9</v>
      </c>
      <c r="M25" s="20" t="n">
        <v>3.969117</v>
      </c>
      <c r="N25" s="20" t="n">
        <v>653</v>
      </c>
      <c r="O25" s="20" t="n">
        <v>3.17</v>
      </c>
      <c r="P25" s="20" t="n">
        <v>0.677072994652406</v>
      </c>
      <c r="Q25" s="20" t="n">
        <v>667</v>
      </c>
      <c r="R25" s="20" t="n">
        <v>0.69096600052568</v>
      </c>
      <c r="S25" s="20" t="n">
        <v>667</v>
      </c>
      <c r="U25" s="27"/>
      <c r="V25" s="28" t="n">
        <v>0.133333333333333</v>
      </c>
      <c r="W25" s="29" t="n">
        <f aca="false">D25/C25</f>
        <v>7.5</v>
      </c>
      <c r="X25" s="13"/>
      <c r="Y25" s="30" t="n">
        <v>9.05450535069997</v>
      </c>
      <c r="Z25" s="30" t="n">
        <v>8.87244965487535</v>
      </c>
      <c r="AA25" s="30" t="n">
        <v>41.5400785854617</v>
      </c>
      <c r="AB25" s="30" t="n">
        <v>50.9201061100197</v>
      </c>
      <c r="AD25" s="31" t="n">
        <v>1445.56</v>
      </c>
      <c r="AE25" s="30" t="n">
        <f aca="false">AD25*1000/C25/D25*145.038/SQRT(145.038*L25)</f>
        <v>8.13386345837368</v>
      </c>
      <c r="AF25" s="32" t="n">
        <f aca="false">AD25*1000/C25/D25</f>
        <v>4.81853333333333</v>
      </c>
    </row>
    <row r="26" customFormat="false" ht="25.5" hidden="false" customHeight="true" outlineLevel="0" collapsed="false">
      <c r="A26" s="42"/>
      <c r="B26" s="25" t="s">
        <v>59</v>
      </c>
      <c r="C26" s="26" t="n">
        <v>200</v>
      </c>
      <c r="D26" s="13" t="n">
        <v>1500</v>
      </c>
      <c r="E26" s="26" t="n">
        <v>1500</v>
      </c>
      <c r="F26" s="26" t="n">
        <v>1</v>
      </c>
      <c r="G26" s="20" t="n">
        <v>1</v>
      </c>
      <c r="H26" s="26" t="n">
        <v>1</v>
      </c>
      <c r="I26" s="26" t="n">
        <v>1</v>
      </c>
      <c r="J26" s="26" t="n">
        <v>1</v>
      </c>
      <c r="K26" s="20" t="n">
        <v>0.0700063011972275</v>
      </c>
      <c r="L26" s="20" t="n">
        <v>52.9</v>
      </c>
      <c r="M26" s="20" t="n">
        <v>2.97683775</v>
      </c>
      <c r="N26" s="20" t="n">
        <v>470</v>
      </c>
      <c r="O26" s="20" t="n">
        <v>9.57</v>
      </c>
      <c r="P26" s="20" t="n">
        <v>0.3969117</v>
      </c>
      <c r="Q26" s="20" t="n">
        <v>470</v>
      </c>
      <c r="R26" s="20" t="n">
        <v>0.541517261407514</v>
      </c>
      <c r="S26" s="20" t="n">
        <v>470</v>
      </c>
      <c r="U26" s="27"/>
      <c r="V26" s="28" t="n">
        <v>0.133333333333333</v>
      </c>
      <c r="W26" s="29" t="n">
        <f aca="false">D26/C26</f>
        <v>7.5</v>
      </c>
      <c r="X26" s="13"/>
      <c r="Y26" s="30" t="n">
        <v>4.81121196335598</v>
      </c>
      <c r="Z26" s="30" t="n">
        <v>3.52643665406427</v>
      </c>
      <c r="AA26" s="30" t="n">
        <v>85.0264650283554</v>
      </c>
      <c r="AB26" s="30" t="n">
        <v>26.448274905482</v>
      </c>
      <c r="AD26" s="31" t="n">
        <v>1113.315</v>
      </c>
      <c r="AE26" s="30" t="n">
        <f aca="false">AD26*1000/C26/D26*145.038/SQRT(145.038*L26)</f>
        <v>6.14482997954785</v>
      </c>
      <c r="AF26" s="32" t="n">
        <f aca="false">AD26*1000/C26/D26</f>
        <v>3.71105</v>
      </c>
    </row>
    <row r="27" customFormat="false" ht="25.5" hidden="false" customHeight="true" outlineLevel="0" collapsed="false">
      <c r="A27" s="42"/>
      <c r="B27" s="25" t="s">
        <v>60</v>
      </c>
      <c r="C27" s="26" t="n">
        <v>200</v>
      </c>
      <c r="D27" s="13" t="n">
        <v>1500</v>
      </c>
      <c r="E27" s="26" t="n">
        <v>1500</v>
      </c>
      <c r="F27" s="41" t="n">
        <v>1</v>
      </c>
      <c r="G27" s="20" t="n">
        <v>1</v>
      </c>
      <c r="H27" s="26" t="n">
        <v>1</v>
      </c>
      <c r="I27" s="26" t="n">
        <v>1</v>
      </c>
      <c r="J27" s="26" t="n">
        <v>1</v>
      </c>
      <c r="K27" s="20" t="n">
        <v>0.07</v>
      </c>
      <c r="L27" s="20" t="n">
        <v>46</v>
      </c>
      <c r="M27" s="20" t="n">
        <v>1.9845585</v>
      </c>
      <c r="N27" s="20" t="n">
        <v>653</v>
      </c>
      <c r="O27" s="20" t="n">
        <v>5.32</v>
      </c>
      <c r="P27" s="20" t="n">
        <v>0.2532253</v>
      </c>
      <c r="Q27" s="20" t="n">
        <v>667</v>
      </c>
      <c r="R27" s="20" t="n">
        <v>0.361011835797289</v>
      </c>
      <c r="S27" s="20" t="n">
        <v>653</v>
      </c>
      <c r="U27" s="27"/>
      <c r="V27" s="28" t="n">
        <v>0.133333333333333</v>
      </c>
      <c r="W27" s="29" t="n">
        <f aca="false">D27/C27</f>
        <v>7.5</v>
      </c>
      <c r="X27" s="13"/>
      <c r="Y27" s="30" t="n">
        <v>5.12479845164412</v>
      </c>
      <c r="Z27" s="30" t="n">
        <v>3.67176685</v>
      </c>
      <c r="AA27" s="30" t="n">
        <v>77.14</v>
      </c>
      <c r="AB27" s="30" t="n">
        <v>28.1721021847826</v>
      </c>
      <c r="AD27" s="31" t="n">
        <v>1112.395</v>
      </c>
      <c r="AE27" s="30" t="n">
        <f aca="false">AD27*1000/C27/D27*145.038/SQRT(145.038*L27)</f>
        <v>6.58415064241971</v>
      </c>
      <c r="AF27" s="32" t="n">
        <f aca="false">AD27*1000/C27/D27</f>
        <v>3.70798333333333</v>
      </c>
    </row>
    <row r="28" customFormat="false" ht="25.5" hidden="false" customHeight="true" outlineLevel="0" collapsed="false">
      <c r="A28" s="42"/>
      <c r="B28" s="25" t="s">
        <v>61</v>
      </c>
      <c r="C28" s="26" t="n">
        <v>200</v>
      </c>
      <c r="D28" s="13" t="n">
        <v>1500</v>
      </c>
      <c r="E28" s="26" t="n">
        <v>750</v>
      </c>
      <c r="F28" s="41" t="n">
        <v>0.5</v>
      </c>
      <c r="G28" s="20" t="n">
        <v>0.5</v>
      </c>
      <c r="H28" s="26" t="n">
        <v>1</v>
      </c>
      <c r="I28" s="26" t="n">
        <v>1</v>
      </c>
      <c r="J28" s="26" t="n">
        <v>1</v>
      </c>
      <c r="K28" s="20" t="n">
        <v>0.0700298953662182</v>
      </c>
      <c r="L28" s="20" t="n">
        <v>44.6</v>
      </c>
      <c r="M28" s="20" t="n">
        <v>9.5613785</v>
      </c>
      <c r="N28" s="20" t="n">
        <v>617</v>
      </c>
      <c r="O28" s="20" t="n">
        <v>0</v>
      </c>
      <c r="P28" s="20" t="n">
        <v>0.923050465116279</v>
      </c>
      <c r="Q28" s="20" t="n">
        <v>470</v>
      </c>
      <c r="R28" s="20" t="n">
        <v>0.916413250234271</v>
      </c>
      <c r="S28" s="20" t="n">
        <v>470</v>
      </c>
      <c r="U28" s="27"/>
      <c r="V28" s="28" t="n">
        <v>0.0666666666666667</v>
      </c>
      <c r="W28" s="29" t="n">
        <f aca="false">D28/C28</f>
        <v>7.5</v>
      </c>
      <c r="X28" s="13"/>
      <c r="Y28" s="30" t="n">
        <v>9.65726967735667</v>
      </c>
      <c r="Z28" s="30" t="n">
        <v>9.72721342162895</v>
      </c>
      <c r="AA28" s="30" t="n">
        <v>0</v>
      </c>
      <c r="AB28" s="30" t="n">
        <v>132.272881939462</v>
      </c>
      <c r="AD28" s="31" t="n">
        <v>2532.06</v>
      </c>
      <c r="AE28" s="30" t="n">
        <f aca="false">AD28*1000/C28/D28*145.038/SQRT(145.038*L28)</f>
        <v>15.2204050337743</v>
      </c>
      <c r="AF28" s="32" t="n">
        <f aca="false">AD28*1000/C28/D28</f>
        <v>8.4402</v>
      </c>
    </row>
    <row r="29" customFormat="false" ht="25.5" hidden="false" customHeight="true" outlineLevel="0" collapsed="false">
      <c r="A29" s="42"/>
      <c r="B29" s="25" t="s">
        <v>62</v>
      </c>
      <c r="C29" s="26" t="n">
        <v>200</v>
      </c>
      <c r="D29" s="13" t="n">
        <v>1500</v>
      </c>
      <c r="E29" s="26" t="n">
        <v>750</v>
      </c>
      <c r="F29" s="41" t="n">
        <v>0.5</v>
      </c>
      <c r="G29" s="20" t="n">
        <v>0.5</v>
      </c>
      <c r="H29" s="26" t="n">
        <v>1</v>
      </c>
      <c r="I29" s="26" t="n">
        <v>1</v>
      </c>
      <c r="J29" s="26" t="n">
        <v>1</v>
      </c>
      <c r="K29" s="20" t="n">
        <v>0.0700534759358289</v>
      </c>
      <c r="L29" s="20" t="n">
        <v>37.4</v>
      </c>
      <c r="M29" s="20" t="n">
        <v>9.5613785</v>
      </c>
      <c r="N29" s="20" t="n">
        <v>617</v>
      </c>
      <c r="O29" s="20" t="n">
        <v>0</v>
      </c>
      <c r="P29" s="20" t="n">
        <v>0.677072994652406</v>
      </c>
      <c r="Q29" s="20" t="n">
        <v>667</v>
      </c>
      <c r="R29" s="20" t="n">
        <v>0.58466157640238</v>
      </c>
      <c r="S29" s="20" t="n">
        <v>667</v>
      </c>
      <c r="U29" s="27"/>
      <c r="V29" s="28" t="n">
        <v>0.0666666666666667</v>
      </c>
      <c r="W29" s="29" t="n">
        <f aca="false">D29/C29</f>
        <v>7.5</v>
      </c>
      <c r="X29" s="13"/>
      <c r="Y29" s="30" t="n">
        <v>10.4269858679248</v>
      </c>
      <c r="Z29" s="30" t="n">
        <v>12.0750718565015</v>
      </c>
      <c r="AA29" s="30" t="n">
        <v>0</v>
      </c>
      <c r="AB29" s="30" t="n">
        <v>157.737180066845</v>
      </c>
      <c r="AD29" s="31" t="n">
        <v>2427.57</v>
      </c>
      <c r="AE29" s="30" t="n">
        <f aca="false">AD29*1000/C29/D29*145.038/SQRT(145.038*L29)</f>
        <v>15.9351298674532</v>
      </c>
      <c r="AF29" s="32" t="n">
        <f aca="false">AD29*1000/C29/D29</f>
        <v>8.0919</v>
      </c>
    </row>
    <row r="30" customFormat="false" ht="25.5" hidden="false" customHeight="true" outlineLevel="0" collapsed="false">
      <c r="A30" s="42"/>
      <c r="B30" s="25" t="s">
        <v>63</v>
      </c>
      <c r="C30" s="26" t="n">
        <v>200</v>
      </c>
      <c r="D30" s="13" t="n">
        <v>1500</v>
      </c>
      <c r="E30" s="26" t="n">
        <v>750</v>
      </c>
      <c r="F30" s="41" t="n">
        <v>0.5</v>
      </c>
      <c r="G30" s="20" t="n">
        <v>0.5</v>
      </c>
      <c r="H30" s="26" t="n">
        <v>1</v>
      </c>
      <c r="I30" s="26" t="n">
        <v>2</v>
      </c>
      <c r="J30" s="26" t="n">
        <v>1</v>
      </c>
      <c r="K30" s="20" t="n">
        <v>0.070198105081826</v>
      </c>
      <c r="L30" s="20" t="n">
        <v>38.7</v>
      </c>
      <c r="M30" s="20" t="n">
        <v>1.9845585</v>
      </c>
      <c r="N30" s="20" t="n">
        <v>470</v>
      </c>
      <c r="O30" s="20" t="n">
        <v>0</v>
      </c>
      <c r="P30" s="20" t="n">
        <v>0.923050465116279</v>
      </c>
      <c r="Q30" s="20" t="n">
        <v>470</v>
      </c>
      <c r="R30" s="20" t="n">
        <v>0.916413250234271</v>
      </c>
      <c r="S30" s="20" t="n">
        <v>470</v>
      </c>
      <c r="U30" s="27"/>
      <c r="V30" s="28" t="n">
        <v>0.0666666666666667</v>
      </c>
      <c r="W30" s="29" t="n">
        <f aca="false">D30/C30</f>
        <v>7.5</v>
      </c>
      <c r="X30" s="13"/>
      <c r="Y30" s="30" t="n">
        <v>11.1295666049123</v>
      </c>
      <c r="Z30" s="30" t="n">
        <v>11.2101736073553</v>
      </c>
      <c r="AA30" s="30" t="n">
        <v>0</v>
      </c>
      <c r="AB30" s="30" t="n">
        <v>24.101873255814</v>
      </c>
      <c r="AD30" s="31" t="n">
        <v>1430.945</v>
      </c>
      <c r="AE30" s="30" t="n">
        <f aca="false">AD30*1000/C30/D30*145.038/SQRT(145.038*L30)</f>
        <v>9.23394121584029</v>
      </c>
      <c r="AF30" s="32" t="n">
        <f aca="false">AD30*1000/C30/D30</f>
        <v>4.76981666666667</v>
      </c>
    </row>
    <row r="31" customFormat="false" ht="25.5" hidden="false" customHeight="true" outlineLevel="0" collapsed="false">
      <c r="A31" s="42"/>
      <c r="B31" s="25" t="s">
        <v>64</v>
      </c>
      <c r="C31" s="26" t="n">
        <v>200</v>
      </c>
      <c r="D31" s="13" t="n">
        <v>1500</v>
      </c>
      <c r="E31" s="26" t="n">
        <v>750</v>
      </c>
      <c r="F31" s="41" t="n">
        <v>0.5</v>
      </c>
      <c r="G31" s="20" t="n">
        <v>0.5</v>
      </c>
      <c r="H31" s="26" t="n">
        <v>1</v>
      </c>
      <c r="I31" s="26" t="n">
        <v>2</v>
      </c>
      <c r="J31" s="26" t="n">
        <v>1</v>
      </c>
      <c r="K31" s="20" t="n">
        <v>0.070198105081826</v>
      </c>
      <c r="L31" s="20" t="n">
        <v>38.7</v>
      </c>
      <c r="M31" s="20" t="n">
        <v>1.2661265</v>
      </c>
      <c r="N31" s="20" t="n">
        <v>667</v>
      </c>
      <c r="O31" s="20" t="n">
        <v>0</v>
      </c>
      <c r="P31" s="20" t="n">
        <v>0.677072994652406</v>
      </c>
      <c r="Q31" s="20" t="n">
        <v>667</v>
      </c>
      <c r="R31" s="20" t="n">
        <v>0.58466157640238</v>
      </c>
      <c r="S31" s="20" t="n">
        <v>667</v>
      </c>
      <c r="U31" s="27"/>
      <c r="V31" s="28" t="n">
        <v>0.0666666666666667</v>
      </c>
      <c r="W31" s="29" t="n">
        <f aca="false">D31/C31</f>
        <v>7.5</v>
      </c>
      <c r="X31" s="13"/>
      <c r="Y31" s="30" t="n">
        <v>10.0767253607335</v>
      </c>
      <c r="Z31" s="30" t="n">
        <v>11.6694492876784</v>
      </c>
      <c r="AA31" s="30" t="n">
        <v>0</v>
      </c>
      <c r="AB31" s="30" t="n">
        <v>21.8218701679587</v>
      </c>
      <c r="AD31" s="31" t="n">
        <v>1404.13</v>
      </c>
      <c r="AE31" s="30" t="n">
        <f aca="false">AD31*1000/C31/D31*145.038/SQRT(145.038*L31)</f>
        <v>9.0609030252021</v>
      </c>
      <c r="AF31" s="32" t="n">
        <f aca="false">AD31*1000/C31/D31</f>
        <v>4.68043333333333</v>
      </c>
    </row>
    <row r="32" customFormat="false" ht="25.5" hidden="false" customHeight="true" outlineLevel="0" collapsed="false">
      <c r="A32" s="42"/>
      <c r="B32" s="25" t="s">
        <v>65</v>
      </c>
      <c r="C32" s="26" t="n">
        <v>200</v>
      </c>
      <c r="D32" s="13" t="n">
        <v>1500</v>
      </c>
      <c r="E32" s="26" t="n">
        <v>750</v>
      </c>
      <c r="F32" s="41" t="n">
        <v>0.5</v>
      </c>
      <c r="G32" s="20" t="n">
        <v>0.5</v>
      </c>
      <c r="H32" s="26" t="n">
        <v>1</v>
      </c>
      <c r="I32" s="26" t="n">
        <v>2</v>
      </c>
      <c r="J32" s="26" t="n">
        <v>1</v>
      </c>
      <c r="K32" s="20" t="n">
        <v>0.0700534759358289</v>
      </c>
      <c r="L32" s="20" t="n">
        <v>37.4</v>
      </c>
      <c r="M32" s="20" t="n">
        <v>1.2661265</v>
      </c>
      <c r="N32" s="20" t="n">
        <v>667</v>
      </c>
      <c r="O32" s="20" t="n">
        <v>3.41</v>
      </c>
      <c r="P32" s="20" t="n">
        <v>0.677072994652406</v>
      </c>
      <c r="Q32" s="20" t="n">
        <v>667</v>
      </c>
      <c r="R32" s="20" t="n">
        <v>0.58466157640238</v>
      </c>
      <c r="S32" s="20" t="n">
        <v>667</v>
      </c>
      <c r="U32" s="27"/>
      <c r="V32" s="28" t="n">
        <v>0.0666666666666667</v>
      </c>
      <c r="W32" s="29" t="n">
        <f aca="false">D32/C32</f>
        <v>7.5</v>
      </c>
      <c r="X32" s="13"/>
      <c r="Y32" s="30" t="n">
        <v>10.4269858679248</v>
      </c>
      <c r="Z32" s="30" t="n">
        <v>12.0750718565015</v>
      </c>
      <c r="AA32" s="30" t="n">
        <v>60.814705882353</v>
      </c>
      <c r="AB32" s="30" t="n">
        <v>22.5803843716578</v>
      </c>
      <c r="AD32" s="31" t="n">
        <v>1454.155</v>
      </c>
      <c r="AE32" s="30" t="n">
        <f aca="false">AD32*1000/C32/D32*145.038/SQRT(145.038*L32)</f>
        <v>9.54540910144975</v>
      </c>
      <c r="AF32" s="32" t="n">
        <f aca="false">AD32*1000/C32/D32</f>
        <v>4.84718333333333</v>
      </c>
    </row>
    <row r="33" customFormat="false" ht="25.5" hidden="false" customHeight="true" outlineLevel="0" collapsed="false">
      <c r="A33" s="42" t="s">
        <v>66</v>
      </c>
      <c r="B33" s="25" t="s">
        <v>67</v>
      </c>
      <c r="C33" s="26" t="n">
        <v>180</v>
      </c>
      <c r="D33" s="13" t="n">
        <v>1250</v>
      </c>
      <c r="E33" s="26" t="n">
        <v>3125</v>
      </c>
      <c r="F33" s="20" t="n">
        <v>2.5</v>
      </c>
      <c r="G33" s="20" t="n">
        <v>2.5</v>
      </c>
      <c r="H33" s="26" t="n">
        <v>1</v>
      </c>
      <c r="I33" s="26" t="n">
        <v>1</v>
      </c>
      <c r="J33" s="26" t="n">
        <v>1</v>
      </c>
      <c r="K33" s="20" t="n">
        <v>0</v>
      </c>
      <c r="L33" s="20" t="n">
        <v>19.5</v>
      </c>
      <c r="M33" s="28" t="n">
        <v>8.1858514619883</v>
      </c>
      <c r="N33" s="20" t="n">
        <v>636</v>
      </c>
      <c r="O33" s="20" t="n">
        <v>0</v>
      </c>
      <c r="P33" s="20" t="n">
        <v>0.251479388007055</v>
      </c>
      <c r="Q33" s="20" t="n">
        <v>454</v>
      </c>
      <c r="R33" s="20" t="n">
        <v>0.176124859402724</v>
      </c>
      <c r="S33" s="20" t="n">
        <v>454</v>
      </c>
      <c r="U33" s="27"/>
      <c r="V33" s="28" t="n">
        <v>0.152</v>
      </c>
      <c r="W33" s="29" t="n">
        <f aca="false">D33/C33</f>
        <v>6.94444444444445</v>
      </c>
      <c r="X33" s="13"/>
      <c r="Y33" s="30" t="n">
        <v>4.1005480086583</v>
      </c>
      <c r="Z33" s="30" t="n">
        <v>5.85495600795912</v>
      </c>
      <c r="AA33" s="30" t="n">
        <v>0</v>
      </c>
      <c r="AB33" s="30" t="n">
        <v>266.984693837157</v>
      </c>
      <c r="AD33" s="31" t="n">
        <v>388.25</v>
      </c>
      <c r="AE33" s="30" t="n">
        <f aca="false">AD33*1000/C33/D33*145.038/SQRT(145.038*L33)</f>
        <v>4.70600670728005</v>
      </c>
      <c r="AF33" s="32" t="n">
        <f aca="false">AD33*1000/C33/D33</f>
        <v>1.72555555555556</v>
      </c>
    </row>
    <row r="34" customFormat="false" ht="25.5" hidden="false" customHeight="true" outlineLevel="0" collapsed="false">
      <c r="A34" s="42"/>
      <c r="B34" s="25" t="s">
        <v>68</v>
      </c>
      <c r="C34" s="26" t="n">
        <v>180</v>
      </c>
      <c r="D34" s="13" t="n">
        <v>1250</v>
      </c>
      <c r="E34" s="26" t="n">
        <v>3125</v>
      </c>
      <c r="F34" s="20" t="n">
        <v>2.5</v>
      </c>
      <c r="G34" s="20" t="n">
        <v>2.5</v>
      </c>
      <c r="H34" s="26" t="n">
        <v>1</v>
      </c>
      <c r="I34" s="26" t="n">
        <v>1</v>
      </c>
      <c r="J34" s="26" t="n">
        <v>1</v>
      </c>
      <c r="K34" s="20" t="n">
        <v>0.246153846153846</v>
      </c>
      <c r="L34" s="20" t="n">
        <v>19.5</v>
      </c>
      <c r="M34" s="20" t="n">
        <v>7.16443333333333</v>
      </c>
      <c r="N34" s="20" t="n">
        <v>644</v>
      </c>
      <c r="O34" s="20" t="n">
        <v>0</v>
      </c>
      <c r="P34" s="20" t="n">
        <v>0.251479388007055</v>
      </c>
      <c r="Q34" s="20" t="n">
        <v>454</v>
      </c>
      <c r="R34" s="20" t="n">
        <v>0.176124859402724</v>
      </c>
      <c r="S34" s="20" t="n">
        <v>454</v>
      </c>
      <c r="U34" s="27"/>
      <c r="V34" s="28" t="n">
        <v>0.144</v>
      </c>
      <c r="W34" s="29" t="n">
        <f aca="false">D34/C34</f>
        <v>6.94444444444445</v>
      </c>
      <c r="X34" s="13"/>
      <c r="Y34" s="30" t="n">
        <v>4.1005480086583</v>
      </c>
      <c r="Z34" s="30" t="n">
        <v>5.85495600795912</v>
      </c>
      <c r="AA34" s="30" t="n">
        <v>0</v>
      </c>
      <c r="AB34" s="30" t="n">
        <v>236.610003418803</v>
      </c>
      <c r="AD34" s="31" t="n">
        <v>482.85</v>
      </c>
      <c r="AE34" s="30" t="n">
        <f aca="false">AD34*1000/C34/D34*145.038/SQRT(145.038*L34)</f>
        <v>5.85266024110798</v>
      </c>
      <c r="AF34" s="32" t="n">
        <f aca="false">AD34*1000/C34/D34</f>
        <v>2.146</v>
      </c>
    </row>
    <row r="35" customFormat="false" ht="25.5" hidden="false" customHeight="true" outlineLevel="0" collapsed="false">
      <c r="A35" s="42"/>
      <c r="B35" s="25" t="s">
        <v>69</v>
      </c>
      <c r="C35" s="26" t="n">
        <v>180</v>
      </c>
      <c r="D35" s="13" t="n">
        <v>1250</v>
      </c>
      <c r="E35" s="26" t="n">
        <v>3125</v>
      </c>
      <c r="F35" s="20" t="n">
        <v>2.5</v>
      </c>
      <c r="G35" s="20" t="n">
        <v>2.5</v>
      </c>
      <c r="H35" s="26" t="n">
        <v>1</v>
      </c>
      <c r="I35" s="26" t="n">
        <v>1</v>
      </c>
      <c r="J35" s="26" t="n">
        <v>1</v>
      </c>
      <c r="K35" s="20" t="n">
        <v>0</v>
      </c>
      <c r="L35" s="20" t="n">
        <v>19.5</v>
      </c>
      <c r="M35" s="20" t="n">
        <v>8.88509824561404</v>
      </c>
      <c r="N35" s="20" t="n">
        <v>636</v>
      </c>
      <c r="O35" s="20" t="n">
        <v>0</v>
      </c>
      <c r="P35" s="20" t="n">
        <v>0.200546853727145</v>
      </c>
      <c r="Q35" s="20" t="n">
        <v>540</v>
      </c>
      <c r="R35" s="20" t="n">
        <v>0.176124859402724</v>
      </c>
      <c r="S35" s="20" t="n">
        <v>540</v>
      </c>
      <c r="U35" s="27"/>
      <c r="V35" s="28" t="n">
        <v>0.152</v>
      </c>
      <c r="W35" s="29" t="n">
        <f aca="false">D35/C35</f>
        <v>6.94444444444445</v>
      </c>
      <c r="X35" s="13"/>
      <c r="Y35" s="30" t="n">
        <v>4.87730379884467</v>
      </c>
      <c r="Z35" s="30" t="n">
        <v>5.55360518013632</v>
      </c>
      <c r="AA35" s="30" t="n">
        <v>0</v>
      </c>
      <c r="AB35" s="30" t="n">
        <v>289.790896626181</v>
      </c>
      <c r="AD35" s="31" t="n">
        <v>368.8</v>
      </c>
      <c r="AE35" s="30" t="n">
        <f aca="false">AD35*1000/C35/D35*145.038/SQRT(145.038*L35)</f>
        <v>4.47025183166744</v>
      </c>
      <c r="AF35" s="32" t="n">
        <f aca="false">AD35*1000/C35/D35</f>
        <v>1.63911111111111</v>
      </c>
    </row>
    <row r="36" customFormat="false" ht="25.5" hidden="false" customHeight="true" outlineLevel="0" collapsed="false">
      <c r="A36" s="42"/>
      <c r="B36" s="25" t="s">
        <v>70</v>
      </c>
      <c r="C36" s="26" t="n">
        <v>180</v>
      </c>
      <c r="D36" s="13" t="n">
        <v>1250</v>
      </c>
      <c r="E36" s="26" t="n">
        <v>3125</v>
      </c>
      <c r="F36" s="20" t="n">
        <v>2.5</v>
      </c>
      <c r="G36" s="20" t="n">
        <v>2.5</v>
      </c>
      <c r="H36" s="26" t="n">
        <v>1</v>
      </c>
      <c r="I36" s="26" t="n">
        <v>1</v>
      </c>
      <c r="J36" s="26" t="n">
        <v>1</v>
      </c>
      <c r="K36" s="20" t="n">
        <v>0.246153846153846</v>
      </c>
      <c r="L36" s="20" t="n">
        <v>19.5</v>
      </c>
      <c r="M36" s="28" t="n">
        <v>7.48660467836257</v>
      </c>
      <c r="N36" s="20" t="n">
        <v>636</v>
      </c>
      <c r="O36" s="20" t="n">
        <v>0</v>
      </c>
      <c r="P36" s="20" t="n">
        <v>0.200546853727145</v>
      </c>
      <c r="Q36" s="20" t="n">
        <v>540</v>
      </c>
      <c r="R36" s="20" t="n">
        <v>0.176124859402724</v>
      </c>
      <c r="S36" s="20" t="n">
        <v>540</v>
      </c>
      <c r="U36" s="27"/>
      <c r="V36" s="28" t="n">
        <v>0.152</v>
      </c>
      <c r="W36" s="29" t="n">
        <f aca="false">D36/C36</f>
        <v>6.94444444444445</v>
      </c>
      <c r="X36" s="13"/>
      <c r="Y36" s="30" t="n">
        <v>4.87730379884467</v>
      </c>
      <c r="Z36" s="30" t="n">
        <v>5.55360518013632</v>
      </c>
      <c r="AA36" s="30" t="n">
        <v>0</v>
      </c>
      <c r="AB36" s="30" t="n">
        <v>244.178491048133</v>
      </c>
      <c r="AD36" s="31" t="n">
        <v>482.17</v>
      </c>
      <c r="AE36" s="30" t="n">
        <f aca="false">AD36*1000/C36/D36*145.038/SQRT(145.038*L36)</f>
        <v>5.84441791126652</v>
      </c>
      <c r="AF36" s="32" t="n">
        <f aca="false">AD36*1000/C36/D36</f>
        <v>2.14297777777778</v>
      </c>
    </row>
    <row r="37" customFormat="false" ht="25.5" hidden="false" customHeight="true" outlineLevel="0" collapsed="false">
      <c r="A37" s="42"/>
      <c r="B37" s="25" t="s">
        <v>71</v>
      </c>
      <c r="C37" s="26" t="n">
        <v>180</v>
      </c>
      <c r="D37" s="13" t="n">
        <v>1250</v>
      </c>
      <c r="E37" s="26" t="n">
        <v>3125</v>
      </c>
      <c r="F37" s="20" t="n">
        <v>2.5</v>
      </c>
      <c r="G37" s="20" t="n">
        <v>2.5</v>
      </c>
      <c r="H37" s="26" t="n">
        <v>1</v>
      </c>
      <c r="I37" s="26" t="n">
        <v>1</v>
      </c>
      <c r="J37" s="26" t="n">
        <v>1</v>
      </c>
      <c r="K37" s="20" t="n">
        <v>0.141479484875711</v>
      </c>
      <c r="L37" s="20" t="n">
        <v>37.1</v>
      </c>
      <c r="M37" s="20" t="n">
        <v>7.16443333333333</v>
      </c>
      <c r="N37" s="20" t="n">
        <v>644</v>
      </c>
      <c r="O37" s="20" t="n">
        <v>0</v>
      </c>
      <c r="P37" s="20" t="n">
        <v>0.251479388007055</v>
      </c>
      <c r="Q37" s="20" t="n">
        <v>454</v>
      </c>
      <c r="R37" s="20" t="n">
        <v>0.176124859402724</v>
      </c>
      <c r="S37" s="20" t="n">
        <v>454</v>
      </c>
      <c r="U37" s="27"/>
      <c r="V37" s="28" t="n">
        <v>0.144</v>
      </c>
      <c r="W37" s="29" t="n">
        <f aca="false">D37/C37</f>
        <v>6.94444444444445</v>
      </c>
      <c r="X37" s="13"/>
      <c r="Y37" s="30" t="n">
        <v>2.15527455980692</v>
      </c>
      <c r="Z37" s="30" t="n">
        <v>3.07740275350951</v>
      </c>
      <c r="AA37" s="30" t="n">
        <v>0</v>
      </c>
      <c r="AB37" s="30" t="n">
        <v>124.363748427673</v>
      </c>
      <c r="AD37" s="31" t="n">
        <v>583.95</v>
      </c>
      <c r="AE37" s="30" t="n">
        <f aca="false">AD37*1000/C37/D37*145.038/SQRT(145.038*L37)</f>
        <v>5.13153258582551</v>
      </c>
      <c r="AF37" s="32" t="n">
        <f aca="false">AD37*1000/C37/D37</f>
        <v>2.59533333333333</v>
      </c>
    </row>
    <row r="38" customFormat="false" ht="25.5" hidden="false" customHeight="true" outlineLevel="0" collapsed="false">
      <c r="A38" s="42"/>
      <c r="B38" s="25" t="s">
        <v>72</v>
      </c>
      <c r="C38" s="26" t="n">
        <v>180</v>
      </c>
      <c r="D38" s="13" t="n">
        <v>1250</v>
      </c>
      <c r="E38" s="26" t="n">
        <v>3125</v>
      </c>
      <c r="F38" s="20" t="n">
        <v>2.5</v>
      </c>
      <c r="G38" s="20" t="n">
        <v>2.5</v>
      </c>
      <c r="H38" s="26" t="n">
        <v>1</v>
      </c>
      <c r="I38" s="26" t="n">
        <v>2</v>
      </c>
      <c r="J38" s="26" t="n">
        <v>1</v>
      </c>
      <c r="K38" s="20" t="n">
        <v>0.141479484875711</v>
      </c>
      <c r="L38" s="20" t="n">
        <v>37.1</v>
      </c>
      <c r="M38" s="20" t="n">
        <v>7.48660467836257</v>
      </c>
      <c r="N38" s="20" t="n">
        <v>636</v>
      </c>
      <c r="O38" s="20" t="n">
        <v>0</v>
      </c>
      <c r="P38" s="20" t="n">
        <v>0.200546853727145</v>
      </c>
      <c r="Q38" s="20" t="n">
        <v>540</v>
      </c>
      <c r="R38" s="20" t="n">
        <v>0.176124859402724</v>
      </c>
      <c r="S38" s="20" t="n">
        <v>540</v>
      </c>
      <c r="U38" s="27"/>
      <c r="V38" s="28" t="n">
        <v>0.152</v>
      </c>
      <c r="W38" s="29" t="n">
        <f aca="false">D38/C38</f>
        <v>6.94444444444445</v>
      </c>
      <c r="X38" s="13"/>
      <c r="Y38" s="30" t="n">
        <v>2.56354242796418</v>
      </c>
      <c r="Z38" s="30" t="n">
        <v>2.91901080896653</v>
      </c>
      <c r="AA38" s="30" t="n">
        <v>0</v>
      </c>
      <c r="AB38" s="30" t="n">
        <v>128.341794486216</v>
      </c>
      <c r="AD38" s="31" t="n">
        <v>574.29</v>
      </c>
      <c r="AE38" s="30" t="n">
        <f aca="false">AD38*1000/C38/D38*145.038/SQRT(145.038*L38)</f>
        <v>5.04664414541268</v>
      </c>
      <c r="AF38" s="32" t="n">
        <f aca="false">AD38*1000/C38/D38</f>
        <v>2.5524</v>
      </c>
    </row>
    <row r="39" customFormat="false" ht="25.5" hidden="false" customHeight="true" outlineLevel="0" collapsed="false">
      <c r="A39" s="42"/>
      <c r="B39" s="25" t="s">
        <v>73</v>
      </c>
      <c r="C39" s="26" t="n">
        <v>180</v>
      </c>
      <c r="D39" s="13" t="n">
        <v>1250</v>
      </c>
      <c r="E39" s="26" t="n">
        <v>3125</v>
      </c>
      <c r="F39" s="20" t="n">
        <v>2.5</v>
      </c>
      <c r="G39" s="20" t="n">
        <v>2.5</v>
      </c>
      <c r="H39" s="26" t="n">
        <v>1</v>
      </c>
      <c r="I39" s="26" t="n">
        <v>2</v>
      </c>
      <c r="J39" s="26" t="n">
        <v>1</v>
      </c>
      <c r="K39" s="20" t="n">
        <v>0</v>
      </c>
      <c r="L39" s="20" t="n">
        <v>16.5</v>
      </c>
      <c r="M39" s="20" t="n">
        <v>2.25360907291667</v>
      </c>
      <c r="N39" s="20" t="n">
        <v>555</v>
      </c>
      <c r="O39" s="20" t="n">
        <v>0</v>
      </c>
      <c r="P39" s="20" t="n">
        <v>0.200546853727145</v>
      </c>
      <c r="Q39" s="20" t="n">
        <v>540</v>
      </c>
      <c r="R39" s="20" t="n">
        <v>0.170443412325217</v>
      </c>
      <c r="S39" s="20" t="n">
        <v>540</v>
      </c>
      <c r="U39" s="27"/>
      <c r="V39" s="28" t="n">
        <v>0.128</v>
      </c>
      <c r="W39" s="29" t="n">
        <f aca="false">D39/C39</f>
        <v>6.94444444444445</v>
      </c>
      <c r="X39" s="13"/>
      <c r="Y39" s="30" t="n">
        <v>5.57814803973437</v>
      </c>
      <c r="Z39" s="30" t="n">
        <v>6.56335157652474</v>
      </c>
      <c r="AA39" s="30" t="n">
        <v>0</v>
      </c>
      <c r="AB39" s="30" t="n">
        <v>75.8032142708333</v>
      </c>
      <c r="AD39" s="31" t="n">
        <v>141.4</v>
      </c>
      <c r="AE39" s="30" t="n">
        <f aca="false">AD39*1000/C39/D39*145.038/SQRT(145.038*L39)</f>
        <v>1.86322722107163</v>
      </c>
      <c r="AF39" s="32" t="n">
        <f aca="false">AD39*1000/C39/D39</f>
        <v>0.628444444444445</v>
      </c>
    </row>
    <row r="40" customFormat="false" ht="25.5" hidden="false" customHeight="true" outlineLevel="0" collapsed="false">
      <c r="A40" s="42"/>
      <c r="B40" s="25" t="s">
        <v>74</v>
      </c>
      <c r="C40" s="26" t="n">
        <v>180</v>
      </c>
      <c r="D40" s="13" t="n">
        <v>1250</v>
      </c>
      <c r="E40" s="26" t="n">
        <v>3125</v>
      </c>
      <c r="F40" s="20" t="n">
        <v>2.5</v>
      </c>
      <c r="G40" s="20" t="n">
        <v>2.5</v>
      </c>
      <c r="H40" s="26" t="n">
        <v>1</v>
      </c>
      <c r="I40" s="26" t="n">
        <v>2</v>
      </c>
      <c r="J40" s="26" t="n">
        <v>1</v>
      </c>
      <c r="K40" s="20" t="n">
        <v>0</v>
      </c>
      <c r="L40" s="20" t="n">
        <v>16.5</v>
      </c>
      <c r="M40" s="20" t="n">
        <v>2.3446787037037</v>
      </c>
      <c r="N40" s="20" t="n">
        <v>555</v>
      </c>
      <c r="O40" s="20" t="n">
        <v>0</v>
      </c>
      <c r="P40" s="20" t="n">
        <v>0.161665320861678</v>
      </c>
      <c r="Q40" s="20" t="n">
        <v>540</v>
      </c>
      <c r="R40" s="20" t="n">
        <v>0.140276436692435</v>
      </c>
      <c r="S40" s="20" t="n">
        <v>540</v>
      </c>
      <c r="U40" s="27"/>
      <c r="V40" s="28" t="n">
        <v>0.048</v>
      </c>
      <c r="W40" s="29" t="n">
        <f aca="false">D40/C40</f>
        <v>6.94444444444445</v>
      </c>
      <c r="X40" s="13"/>
      <c r="Y40" s="30" t="n">
        <v>4.59086520084334</v>
      </c>
      <c r="Z40" s="30" t="n">
        <v>5.29086504638219</v>
      </c>
      <c r="AA40" s="30" t="n">
        <v>0</v>
      </c>
      <c r="AB40" s="30" t="n">
        <v>78.8664654882155</v>
      </c>
      <c r="AD40" s="31" t="n">
        <v>76.99</v>
      </c>
      <c r="AE40" s="30" t="n">
        <f aca="false">AD40*1000/C40/D40*145.038/SQRT(145.038*L40)</f>
        <v>1.01449691478292</v>
      </c>
      <c r="AF40" s="32" t="n">
        <f aca="false">AD40*1000/C40/D40</f>
        <v>0.342177777777778</v>
      </c>
    </row>
    <row r="41" customFormat="false" ht="25.5" hidden="false" customHeight="true" outlineLevel="0" collapsed="false">
      <c r="A41" s="33" t="s">
        <v>75</v>
      </c>
      <c r="B41" s="34" t="s">
        <v>76</v>
      </c>
      <c r="C41" s="41" t="n">
        <v>101.6</v>
      </c>
      <c r="D41" s="26" t="n">
        <v>1905</v>
      </c>
      <c r="E41" s="26" t="n">
        <v>952.5</v>
      </c>
      <c r="F41" s="20" t="n">
        <v>0.5</v>
      </c>
      <c r="G41" s="20" t="n">
        <v>0.5</v>
      </c>
      <c r="H41" s="26" t="n">
        <v>3</v>
      </c>
      <c r="I41" s="26" t="n">
        <v>2</v>
      </c>
      <c r="J41" s="26" t="n">
        <v>1</v>
      </c>
      <c r="K41" s="20" t="n">
        <v>0</v>
      </c>
      <c r="L41" s="20" t="n">
        <v>27.03</v>
      </c>
      <c r="M41" s="20" t="n">
        <v>4.06983767277403</v>
      </c>
      <c r="N41" s="20" t="n">
        <v>413.7</v>
      </c>
      <c r="O41" s="20" t="n">
        <v>0.9119659222925</v>
      </c>
      <c r="P41" s="20" t="n">
        <v>0.505726556907659</v>
      </c>
      <c r="Q41" s="20" t="n">
        <v>512.99</v>
      </c>
      <c r="R41" s="20" t="n">
        <v>0.4919</v>
      </c>
      <c r="S41" s="20" t="n">
        <v>544.71</v>
      </c>
      <c r="U41" s="35"/>
      <c r="V41" s="28" t="n">
        <v>0.209310587038487</v>
      </c>
      <c r="W41" s="29" t="n">
        <f aca="false">D41/C41</f>
        <v>18.75</v>
      </c>
      <c r="X41" s="35"/>
      <c r="Y41" s="30" t="n">
        <v>9.91279500554939</v>
      </c>
      <c r="Z41" s="30" t="n">
        <v>9.59795288302109</v>
      </c>
      <c r="AA41" s="30" t="n">
        <v>16.2841417829995</v>
      </c>
      <c r="AB41" s="30" t="n">
        <v>62.2897464012806</v>
      </c>
      <c r="AD41" s="31" t="n">
        <v>1074.5</v>
      </c>
      <c r="AE41" s="30" t="n">
        <f aca="false">AD41*1000/C41/D41*145.038/SQRT(145.038*L41)</f>
        <v>12.8598413334228</v>
      </c>
      <c r="AF41" s="32" t="n">
        <f aca="false">AD41*1000/C41/D41</f>
        <v>5.55159443652221</v>
      </c>
    </row>
    <row r="42" customFormat="false" ht="25.5" hidden="false" customHeight="true" outlineLevel="0" collapsed="false">
      <c r="A42" s="33"/>
      <c r="B42" s="34" t="s">
        <v>77</v>
      </c>
      <c r="C42" s="41" t="n">
        <v>101.6</v>
      </c>
      <c r="D42" s="26" t="n">
        <v>1905</v>
      </c>
      <c r="E42" s="26" t="n">
        <v>952.5</v>
      </c>
      <c r="F42" s="20" t="n">
        <v>0.5</v>
      </c>
      <c r="G42" s="20" t="n">
        <v>0.5</v>
      </c>
      <c r="H42" s="26" t="n">
        <v>3</v>
      </c>
      <c r="I42" s="26" t="n">
        <v>2</v>
      </c>
      <c r="J42" s="26" t="n">
        <v>1</v>
      </c>
      <c r="K42" s="20" t="n">
        <v>0</v>
      </c>
      <c r="L42" s="20" t="n">
        <v>21.24</v>
      </c>
      <c r="M42" s="20" t="n">
        <v>4.06983767277403</v>
      </c>
      <c r="N42" s="20" t="n">
        <v>528.85</v>
      </c>
      <c r="O42" s="20" t="n">
        <v>0.9119659222925</v>
      </c>
      <c r="P42" s="20" t="n">
        <v>0.505726556907659</v>
      </c>
      <c r="Q42" s="20" t="n">
        <v>496.44</v>
      </c>
      <c r="R42" s="20" t="n">
        <v>0.25286327845383</v>
      </c>
      <c r="S42" s="20" t="n">
        <v>496.44</v>
      </c>
      <c r="U42" s="35"/>
      <c r="V42" s="28" t="n">
        <v>0.209310587038487</v>
      </c>
      <c r="W42" s="29" t="n">
        <f aca="false">D42/C42</f>
        <v>18.75</v>
      </c>
      <c r="X42" s="35"/>
      <c r="Y42" s="30" t="n">
        <v>5.91014340657341</v>
      </c>
      <c r="Z42" s="30" t="n">
        <v>11.8202868131468</v>
      </c>
      <c r="AA42" s="30" t="n">
        <v>21.3152713023959</v>
      </c>
      <c r="AB42" s="30" t="n">
        <v>101.333976141551</v>
      </c>
      <c r="AD42" s="31" t="n">
        <v>891.5</v>
      </c>
      <c r="AE42" s="30" t="n">
        <f aca="false">AD42*1000/C42/D42*145.038/SQRT(145.038*L42)</f>
        <v>12.0363914790898</v>
      </c>
      <c r="AF42" s="32" t="n">
        <f aca="false">AD42*1000/C42/D42</f>
        <v>4.60609254551842</v>
      </c>
    </row>
    <row r="43" customFormat="false" ht="25.5" hidden="false" customHeight="true" outlineLevel="0" collapsed="false">
      <c r="A43" s="33"/>
      <c r="B43" s="34" t="s">
        <v>78</v>
      </c>
      <c r="C43" s="41" t="n">
        <v>101.6</v>
      </c>
      <c r="D43" s="26" t="n">
        <v>1905</v>
      </c>
      <c r="E43" s="26" t="n">
        <v>476.25</v>
      </c>
      <c r="F43" s="20" t="n">
        <v>0.25</v>
      </c>
      <c r="G43" s="20" t="n">
        <v>0.25</v>
      </c>
      <c r="H43" s="26" t="n">
        <v>3</v>
      </c>
      <c r="I43" s="26" t="n">
        <v>2</v>
      </c>
      <c r="J43" s="26" t="n">
        <v>1</v>
      </c>
      <c r="K43" s="20" t="n">
        <v>0</v>
      </c>
      <c r="L43" s="20" t="n">
        <v>25.72</v>
      </c>
      <c r="M43" s="20" t="n">
        <v>4.06983767277403</v>
      </c>
      <c r="N43" s="20" t="n">
        <v>539.19</v>
      </c>
      <c r="O43" s="20" t="n">
        <v>0.9119659222925</v>
      </c>
      <c r="P43" s="20" t="n">
        <v>0.505726556907659</v>
      </c>
      <c r="Q43" s="20" t="n">
        <v>501.27</v>
      </c>
      <c r="R43" s="20" t="n">
        <v>0.507131352899069</v>
      </c>
      <c r="S43" s="20" t="n">
        <v>530.92</v>
      </c>
      <c r="U43" s="35"/>
      <c r="V43" s="28" t="n">
        <v>0.209310587038487</v>
      </c>
      <c r="W43" s="29" t="n">
        <f aca="false">D43/C43</f>
        <v>18.75</v>
      </c>
      <c r="X43" s="35"/>
      <c r="Y43" s="30" t="n">
        <v>10.4683583935138</v>
      </c>
      <c r="Z43" s="30" t="n">
        <v>9.85635891061829</v>
      </c>
      <c r="AA43" s="30" t="n">
        <v>17.7737619699674</v>
      </c>
      <c r="AB43" s="30" t="n">
        <v>85.3194313679249</v>
      </c>
      <c r="AD43" s="31" t="n">
        <v>1176.15</v>
      </c>
      <c r="AE43" s="30" t="n">
        <f aca="false">AD43*1000/C43/D43*145.038/SQRT(145.038*L43)</f>
        <v>14.4304357013442</v>
      </c>
      <c r="AF43" s="32" t="n">
        <f aca="false">AD43*1000/C43/D43</f>
        <v>6.07678715357431</v>
      </c>
    </row>
    <row r="44" customFormat="false" ht="25.5" hidden="false" customHeight="true" outlineLevel="0" collapsed="false">
      <c r="A44" s="33"/>
      <c r="B44" s="34" t="s">
        <v>79</v>
      </c>
      <c r="C44" s="41" t="n">
        <v>101.6</v>
      </c>
      <c r="D44" s="26" t="n">
        <v>1905</v>
      </c>
      <c r="E44" s="26" t="n">
        <v>1905</v>
      </c>
      <c r="F44" s="20" t="n">
        <v>1</v>
      </c>
      <c r="G44" s="20" t="n">
        <v>1</v>
      </c>
      <c r="H44" s="26" t="n">
        <v>3</v>
      </c>
      <c r="I44" s="26" t="n">
        <v>1</v>
      </c>
      <c r="J44" s="26" t="n">
        <v>1</v>
      </c>
      <c r="K44" s="20" t="n">
        <v>0</v>
      </c>
      <c r="L44" s="20" t="n">
        <v>23.44</v>
      </c>
      <c r="M44" s="20" t="n">
        <v>4.06983767277403</v>
      </c>
      <c r="N44" s="20" t="n">
        <v>488.86</v>
      </c>
      <c r="O44" s="20" t="n">
        <v>0.9119659222925</v>
      </c>
      <c r="P44" s="20" t="n">
        <v>0.505726556907659</v>
      </c>
      <c r="Q44" s="20" t="n">
        <v>495.75</v>
      </c>
      <c r="R44" s="20" t="n">
        <v>0.507131352899069</v>
      </c>
      <c r="S44" s="20" t="n">
        <v>527.47</v>
      </c>
      <c r="U44" s="35"/>
      <c r="V44" s="28" t="n">
        <v>0.209310587038487</v>
      </c>
      <c r="W44" s="29" t="n">
        <f aca="false">D44/C44</f>
        <v>18.75</v>
      </c>
      <c r="X44" s="35"/>
      <c r="Y44" s="30" t="n">
        <v>11.4119699109928</v>
      </c>
      <c r="Z44" s="30" t="n">
        <v>10.6959872264067</v>
      </c>
      <c r="AA44" s="30" t="n">
        <v>18.5902541377902</v>
      </c>
      <c r="AB44" s="30" t="n">
        <v>84.8797288699791</v>
      </c>
      <c r="AD44" s="31" t="n">
        <v>913.68</v>
      </c>
      <c r="AE44" s="30" t="n">
        <f aca="false">AD44*1000/C44/D44*145.038/SQRT(145.038*L44)</f>
        <v>11.7426881665204</v>
      </c>
      <c r="AF44" s="32" t="n">
        <f aca="false">AD44*1000/C44/D44</f>
        <v>4.72068944137888</v>
      </c>
    </row>
    <row r="45" customFormat="false" ht="25.5" hidden="false" customHeight="true" outlineLevel="0" collapsed="false">
      <c r="A45" s="42" t="s">
        <v>80</v>
      </c>
      <c r="B45" s="25" t="s">
        <v>81</v>
      </c>
      <c r="C45" s="26" t="n">
        <v>203.2</v>
      </c>
      <c r="D45" s="26" t="n">
        <v>2032</v>
      </c>
      <c r="E45" s="26" t="n">
        <v>2032</v>
      </c>
      <c r="F45" s="13" t="n">
        <v>1</v>
      </c>
      <c r="G45" s="20" t="n">
        <v>1</v>
      </c>
      <c r="H45" s="26" t="n">
        <v>1</v>
      </c>
      <c r="I45" s="26" t="n">
        <v>2</v>
      </c>
      <c r="J45" s="26" t="n">
        <v>1</v>
      </c>
      <c r="K45" s="13" t="n">
        <v>0</v>
      </c>
      <c r="L45" s="20" t="n">
        <v>39</v>
      </c>
      <c r="M45" s="20" t="n">
        <v>4.04265996031992</v>
      </c>
      <c r="N45" s="20" t="n">
        <v>440</v>
      </c>
      <c r="O45" s="20" t="n">
        <v>1.21675243350487</v>
      </c>
      <c r="P45" s="20" t="n">
        <v>0.337986787084685</v>
      </c>
      <c r="Q45" s="20" t="n">
        <v>453</v>
      </c>
      <c r="R45" s="20" t="n">
        <v>0.3043</v>
      </c>
      <c r="S45" s="20" t="n">
        <v>453</v>
      </c>
      <c r="U45" s="27" t="s">
        <v>82</v>
      </c>
      <c r="V45" s="28" t="n">
        <v>0.125</v>
      </c>
      <c r="W45" s="29" t="n">
        <f aca="false">D45/C45</f>
        <v>10</v>
      </c>
      <c r="X45" s="13"/>
      <c r="Y45" s="30" t="n">
        <v>3.53456153846154</v>
      </c>
      <c r="Z45" s="30" t="n">
        <v>3.92584652690673</v>
      </c>
      <c r="AA45" s="30" t="n">
        <v>14.1330474968642</v>
      </c>
      <c r="AB45" s="30" t="n">
        <v>45.6094969882248</v>
      </c>
      <c r="AD45" s="31" t="n">
        <v>1098.5</v>
      </c>
      <c r="AE45" s="30" t="n">
        <f aca="false">AD45*1000/C45/D45*145.038/SQRT(145.038*L45)</f>
        <v>5.13051842645554</v>
      </c>
      <c r="AF45" s="32" t="n">
        <f aca="false">AD45*1000/C45/D45</f>
        <v>2.66043500837002</v>
      </c>
    </row>
    <row r="46" customFormat="false" ht="25.5" hidden="false" customHeight="true" outlineLevel="0" collapsed="false">
      <c r="A46" s="42"/>
      <c r="B46" s="25" t="s">
        <v>83</v>
      </c>
      <c r="C46" s="41" t="n">
        <v>203.2</v>
      </c>
      <c r="D46" s="26" t="n">
        <v>2032</v>
      </c>
      <c r="E46" s="26" t="n">
        <v>2032</v>
      </c>
      <c r="F46" s="13" t="n">
        <v>1</v>
      </c>
      <c r="G46" s="20" t="n">
        <v>1</v>
      </c>
      <c r="H46" s="26" t="n">
        <v>1</v>
      </c>
      <c r="I46" s="26" t="n">
        <v>2</v>
      </c>
      <c r="J46" s="26" t="n">
        <v>1</v>
      </c>
      <c r="K46" s="13" t="n">
        <v>0</v>
      </c>
      <c r="L46" s="20" t="n">
        <v>38</v>
      </c>
      <c r="M46" s="20" t="n">
        <v>2.33616467232935</v>
      </c>
      <c r="N46" s="20" t="n">
        <v>770</v>
      </c>
      <c r="O46" s="20" t="n">
        <v>1.21675243350487</v>
      </c>
      <c r="P46" s="20" t="n">
        <v>0.168993393542343</v>
      </c>
      <c r="Q46" s="20" t="n">
        <v>786</v>
      </c>
      <c r="R46" s="20" t="n">
        <v>0.1522</v>
      </c>
      <c r="S46" s="20" t="n">
        <v>786</v>
      </c>
      <c r="U46" s="27" t="n">
        <v>23</v>
      </c>
      <c r="V46" s="28" t="n">
        <v>0.125</v>
      </c>
      <c r="W46" s="29" t="n">
        <f aca="false">D46/C46</f>
        <v>10</v>
      </c>
      <c r="X46" s="13"/>
      <c r="Y46" s="30" t="n">
        <v>3.14813684210526</v>
      </c>
      <c r="Z46" s="30" t="n">
        <v>3.49549492958635</v>
      </c>
      <c r="AA46" s="30" t="n">
        <v>14.5049697994133</v>
      </c>
      <c r="AB46" s="30" t="n">
        <v>47.3380736235157</v>
      </c>
      <c r="AD46" s="31" t="n">
        <v>1073.5</v>
      </c>
      <c r="AE46" s="30" t="n">
        <f aca="false">AD46*1000/C46/D46*145.038/SQRT(145.038*L46)</f>
        <v>5.07929859679751</v>
      </c>
      <c r="AF46" s="32" t="n">
        <f aca="false">AD46*1000/C46/D46</f>
        <v>2.59988801227602</v>
      </c>
    </row>
    <row r="47" customFormat="false" ht="25.5" hidden="false" customHeight="true" outlineLevel="0" collapsed="false">
      <c r="A47" s="42"/>
      <c r="B47" s="25" t="s">
        <v>84</v>
      </c>
      <c r="C47" s="41" t="n">
        <v>203.2</v>
      </c>
      <c r="D47" s="26" t="n">
        <v>2032</v>
      </c>
      <c r="E47" s="26" t="n">
        <v>2032</v>
      </c>
      <c r="F47" s="13" t="n">
        <v>1</v>
      </c>
      <c r="G47" s="20" t="n">
        <v>1</v>
      </c>
      <c r="H47" s="26" t="n">
        <v>1</v>
      </c>
      <c r="I47" s="26" t="n">
        <v>2</v>
      </c>
      <c r="J47" s="26" t="n">
        <v>1</v>
      </c>
      <c r="K47" s="13" t="n">
        <v>0</v>
      </c>
      <c r="L47" s="20" t="n">
        <v>44</v>
      </c>
      <c r="M47" s="20" t="n">
        <v>6.625217000434</v>
      </c>
      <c r="N47" s="20" t="n">
        <v>450</v>
      </c>
      <c r="O47" s="20" t="n">
        <v>1.21675243350487</v>
      </c>
      <c r="P47" s="20" t="n">
        <v>0.856796505259677</v>
      </c>
      <c r="Q47" s="20" t="n">
        <v>475</v>
      </c>
      <c r="R47" s="20" t="n">
        <v>0.7715</v>
      </c>
      <c r="S47" s="20" t="n">
        <v>475</v>
      </c>
      <c r="U47" s="27" t="n">
        <v>23</v>
      </c>
      <c r="V47" s="28" t="n">
        <v>0.125</v>
      </c>
      <c r="W47" s="29" t="n">
        <f aca="false">D47/C47</f>
        <v>10</v>
      </c>
      <c r="X47" s="13"/>
      <c r="Y47" s="30" t="n">
        <v>8.32869318181818</v>
      </c>
      <c r="Z47" s="30" t="n">
        <v>9.24950772723515</v>
      </c>
      <c r="AA47" s="30" t="n">
        <v>12.5270193722206</v>
      </c>
      <c r="AB47" s="30" t="n">
        <v>67.7579011408023</v>
      </c>
      <c r="AD47" s="31" t="n">
        <v>1817</v>
      </c>
      <c r="AE47" s="30" t="n">
        <f aca="false">AD47*1000/C47/D47*145.038/SQRT(145.038*L47)</f>
        <v>7.989545659685</v>
      </c>
      <c r="AF47" s="32" t="n">
        <f aca="false">AD47*1000/C47/D47</f>
        <v>4.40055567611135</v>
      </c>
    </row>
    <row r="48" customFormat="false" ht="25.5" hidden="false" customHeight="true" outlineLevel="0" collapsed="false">
      <c r="A48" s="42"/>
      <c r="B48" s="25" t="s">
        <v>85</v>
      </c>
      <c r="C48" s="41" t="n">
        <v>203.2</v>
      </c>
      <c r="D48" s="26" t="n">
        <v>2032</v>
      </c>
      <c r="E48" s="26" t="n">
        <v>2032</v>
      </c>
      <c r="F48" s="13" t="n">
        <v>1</v>
      </c>
      <c r="G48" s="20" t="n">
        <v>1</v>
      </c>
      <c r="H48" s="26" t="n">
        <v>1</v>
      </c>
      <c r="I48" s="26" t="n">
        <v>2</v>
      </c>
      <c r="J48" s="26" t="n">
        <v>1</v>
      </c>
      <c r="K48" s="13" t="n">
        <v>0</v>
      </c>
      <c r="L48" s="20" t="n">
        <v>44</v>
      </c>
      <c r="M48" s="20" t="n">
        <v>3.50424700849402</v>
      </c>
      <c r="N48" s="20" t="n">
        <v>770</v>
      </c>
      <c r="O48" s="20" t="n">
        <v>1.21675243350487</v>
      </c>
      <c r="P48" s="20" t="n">
        <v>0.428398252629839</v>
      </c>
      <c r="Q48" s="20" t="n">
        <v>806</v>
      </c>
      <c r="R48" s="20" t="n">
        <v>0.4286</v>
      </c>
      <c r="S48" s="20" t="n">
        <v>806</v>
      </c>
      <c r="U48" s="27" t="n">
        <v>23</v>
      </c>
      <c r="V48" s="28" t="n">
        <v>0.125</v>
      </c>
      <c r="W48" s="29" t="n">
        <f aca="false">D48/C48</f>
        <v>10</v>
      </c>
      <c r="X48" s="13"/>
      <c r="Y48" s="30" t="n">
        <v>7.85117272727273</v>
      </c>
      <c r="Z48" s="30" t="n">
        <v>7.84747708226477</v>
      </c>
      <c r="AA48" s="30" t="n">
        <v>12.5270193722206</v>
      </c>
      <c r="AB48" s="30" t="n">
        <v>61.3243226486453</v>
      </c>
      <c r="AD48" s="31" t="n">
        <v>1765.5</v>
      </c>
      <c r="AE48" s="30" t="n">
        <f aca="false">AD48*1000/C48/D48*145.038/SQRT(145.038*L48)</f>
        <v>7.76309458567632</v>
      </c>
      <c r="AF48" s="32" t="n">
        <f aca="false">AD48*1000/C48/D48</f>
        <v>4.27582886415773</v>
      </c>
    </row>
    <row r="49" customFormat="false" ht="25.5" hidden="false" customHeight="true" outlineLevel="0" collapsed="false">
      <c r="A49" s="42"/>
      <c r="B49" s="25" t="s">
        <v>86</v>
      </c>
      <c r="C49" s="41" t="n">
        <v>203.2</v>
      </c>
      <c r="D49" s="26" t="n">
        <v>2032</v>
      </c>
      <c r="E49" s="26" t="n">
        <v>2032</v>
      </c>
      <c r="F49" s="13" t="n">
        <v>1</v>
      </c>
      <c r="G49" s="20" t="n">
        <v>1</v>
      </c>
      <c r="H49" s="26" t="n">
        <v>1</v>
      </c>
      <c r="I49" s="26" t="n">
        <v>2</v>
      </c>
      <c r="J49" s="26" t="n">
        <v>1</v>
      </c>
      <c r="K49" s="13" t="n">
        <v>0</v>
      </c>
      <c r="L49" s="20" t="n">
        <v>42</v>
      </c>
      <c r="M49" s="20" t="n">
        <v>6.625217000434</v>
      </c>
      <c r="N49" s="20" t="n">
        <v>450</v>
      </c>
      <c r="O49" s="20" t="n">
        <v>0.608376216752434</v>
      </c>
      <c r="P49" s="20" t="n">
        <v>0.856796505259677</v>
      </c>
      <c r="Q49" s="20" t="n">
        <v>475</v>
      </c>
      <c r="R49" s="20" t="n">
        <v>0.7715</v>
      </c>
      <c r="S49" s="20" t="n">
        <v>475</v>
      </c>
      <c r="U49" s="27" t="n">
        <v>23</v>
      </c>
      <c r="V49" s="28" t="n">
        <v>0.125</v>
      </c>
      <c r="W49" s="29" t="n">
        <f aca="false">D49/C49</f>
        <v>10</v>
      </c>
      <c r="X49" s="13"/>
      <c r="Y49" s="30" t="n">
        <v>8.72529761904762</v>
      </c>
      <c r="Z49" s="30" t="n">
        <v>9.68996047615111</v>
      </c>
      <c r="AA49" s="30" t="n">
        <v>6.56177205211553</v>
      </c>
      <c r="AB49" s="30" t="n">
        <v>70.9844678617929</v>
      </c>
      <c r="AD49" s="31" t="n">
        <v>1818.5</v>
      </c>
      <c r="AE49" s="30" t="n">
        <f aca="false">AD49*1000/C49/D49*145.038/SQRT(145.038*L49)</f>
        <v>8.18431156869491</v>
      </c>
      <c r="AF49" s="32" t="n">
        <f aca="false">AD49*1000/C49/D49</f>
        <v>4.40418849587699</v>
      </c>
    </row>
    <row r="50" customFormat="false" ht="25.5" hidden="false" customHeight="true" outlineLevel="0" collapsed="false">
      <c r="A50" s="44" t="s">
        <v>87</v>
      </c>
      <c r="B50" s="45" t="s">
        <v>88</v>
      </c>
      <c r="C50" s="37" t="n">
        <v>125</v>
      </c>
      <c r="D50" s="37" t="n">
        <v>750</v>
      </c>
      <c r="E50" s="37" t="n">
        <v>1400</v>
      </c>
      <c r="F50" s="29" t="n">
        <v>1.86666666666667</v>
      </c>
      <c r="G50" s="29" t="n">
        <v>1.86666666666667</v>
      </c>
      <c r="H50" s="37" t="n">
        <v>1</v>
      </c>
      <c r="I50" s="37" t="n">
        <v>2</v>
      </c>
      <c r="J50" s="37" t="n">
        <v>1</v>
      </c>
      <c r="K50" s="46" t="n">
        <v>0</v>
      </c>
      <c r="L50" s="29" t="n">
        <v>31.12</v>
      </c>
      <c r="M50" s="29" t="n">
        <v>0</v>
      </c>
      <c r="N50" s="29" t="n">
        <v>604</v>
      </c>
      <c r="O50" s="29" t="n">
        <v>1.61</v>
      </c>
      <c r="P50" s="29" t="n">
        <v>0.669866666666667</v>
      </c>
      <c r="Q50" s="29" t="n">
        <v>588</v>
      </c>
      <c r="R50" s="29" t="n">
        <v>0.825</v>
      </c>
      <c r="S50" s="29" t="n">
        <v>588</v>
      </c>
      <c r="U50" s="47" t="s">
        <v>89</v>
      </c>
      <c r="V50" s="39" t="n">
        <v>0.24</v>
      </c>
      <c r="W50" s="29" t="n">
        <f aca="false">D50/C50</f>
        <v>6</v>
      </c>
      <c r="X50" s="13"/>
      <c r="Y50" s="30" t="n">
        <v>15.5880462724936</v>
      </c>
      <c r="Z50" s="30" t="n">
        <v>12.6568637532134</v>
      </c>
      <c r="AA50" s="30" t="n">
        <v>30.4203084832905</v>
      </c>
      <c r="AB50" s="30" t="n">
        <v>0</v>
      </c>
      <c r="AD50" s="39" t="n">
        <v>175.515</v>
      </c>
      <c r="AE50" s="30" t="n">
        <f aca="false">AD50*1000/C50/D50*145.038/SQRT(145.038*L50)</f>
        <v>4.04169995075317</v>
      </c>
      <c r="AF50" s="32" t="n">
        <f aca="false">AD50*1000/C50/D50</f>
        <v>1.87216</v>
      </c>
    </row>
    <row r="51" customFormat="false" ht="25.5" hidden="false" customHeight="true" outlineLevel="0" collapsed="false">
      <c r="A51" s="24" t="s">
        <v>90</v>
      </c>
      <c r="B51" s="25" t="s">
        <v>91</v>
      </c>
      <c r="C51" s="26" t="n">
        <v>100</v>
      </c>
      <c r="D51" s="26" t="n">
        <v>2000</v>
      </c>
      <c r="E51" s="26" t="n">
        <v>1660</v>
      </c>
      <c r="F51" s="20" t="n">
        <v>0.83</v>
      </c>
      <c r="G51" s="20" t="n">
        <v>0.83</v>
      </c>
      <c r="H51" s="26" t="n">
        <v>1</v>
      </c>
      <c r="I51" s="26" t="n">
        <v>2</v>
      </c>
      <c r="J51" s="26" t="n">
        <v>1</v>
      </c>
      <c r="K51" s="20" t="n">
        <v>0</v>
      </c>
      <c r="L51" s="20" t="n">
        <v>12.35</v>
      </c>
      <c r="M51" s="20" t="n">
        <v>0</v>
      </c>
      <c r="N51" s="20" t="n">
        <v>0</v>
      </c>
      <c r="O51" s="28" t="n">
        <v>0</v>
      </c>
      <c r="P51" s="43" t="n">
        <v>0.21</v>
      </c>
      <c r="Q51" s="20" t="n">
        <v>579.15</v>
      </c>
      <c r="R51" s="20" t="n">
        <v>0.18</v>
      </c>
      <c r="S51" s="20" t="n">
        <v>579</v>
      </c>
      <c r="U51" s="13"/>
      <c r="V51" s="28" t="n">
        <v>0</v>
      </c>
      <c r="W51" s="29" t="n">
        <f aca="false">D51/C51</f>
        <v>20</v>
      </c>
      <c r="X51" s="35"/>
      <c r="Y51" s="30" t="n">
        <v>8.43886639676113</v>
      </c>
      <c r="Z51" s="30" t="n">
        <v>9.84789473684211</v>
      </c>
      <c r="AA51" s="30" t="n">
        <v>0</v>
      </c>
      <c r="AB51" s="30" t="n">
        <v>0</v>
      </c>
      <c r="AD51" s="28" t="n">
        <v>113.8415</v>
      </c>
      <c r="AE51" s="30" t="n">
        <f aca="false">AD51*1000/C51/D51*145.038/SQRT(145.038*L51)</f>
        <v>1.95064408984747</v>
      </c>
      <c r="AF51" s="32" t="n">
        <f aca="false">AD51*1000/C51/D51</f>
        <v>0.5692075</v>
      </c>
    </row>
    <row r="52" customFormat="false" ht="25.5" hidden="false" customHeight="true" outlineLevel="0" collapsed="false">
      <c r="A52" s="42" t="s">
        <v>92</v>
      </c>
      <c r="B52" s="25" t="s">
        <v>67</v>
      </c>
      <c r="C52" s="26" t="n">
        <v>75</v>
      </c>
      <c r="D52" s="26" t="n">
        <v>1000</v>
      </c>
      <c r="E52" s="26" t="n">
        <v>1000</v>
      </c>
      <c r="F52" s="13" t="n">
        <v>1</v>
      </c>
      <c r="G52" s="20" t="n">
        <v>1</v>
      </c>
      <c r="H52" s="26" t="n">
        <v>3</v>
      </c>
      <c r="I52" s="26" t="n">
        <v>1</v>
      </c>
      <c r="J52" s="26" t="n">
        <v>1</v>
      </c>
      <c r="K52" s="43" t="n">
        <v>0.103359173126615</v>
      </c>
      <c r="L52" s="20" t="n">
        <v>86</v>
      </c>
      <c r="M52" s="20" t="n">
        <v>6.43072</v>
      </c>
      <c r="N52" s="20" t="n">
        <v>535</v>
      </c>
      <c r="O52" s="20" t="n">
        <v>0.133973333333333</v>
      </c>
      <c r="P52" s="20" t="n">
        <v>0.45125748502994</v>
      </c>
      <c r="Q52" s="20" t="n">
        <v>536</v>
      </c>
      <c r="R52" s="20" t="n">
        <v>0.471</v>
      </c>
      <c r="S52" s="20" t="n">
        <v>536</v>
      </c>
      <c r="U52" s="48" t="s">
        <v>93</v>
      </c>
      <c r="V52" s="28" t="n">
        <v>0.277777777777778</v>
      </c>
      <c r="W52" s="29" t="n">
        <f aca="false">D52/C52</f>
        <v>13.3333333333333</v>
      </c>
      <c r="X52" s="13"/>
      <c r="Y52" s="30" t="n">
        <v>2.93553488372093</v>
      </c>
      <c r="Z52" s="30" t="n">
        <v>2.81248851134939</v>
      </c>
      <c r="AA52" s="30" t="n">
        <v>0.45566511627907</v>
      </c>
      <c r="AB52" s="30" t="n">
        <v>40.0050604651163</v>
      </c>
      <c r="AD52" s="31" t="n">
        <v>994.5</v>
      </c>
      <c r="AE52" s="30" t="n">
        <f aca="false">AD52*1000/C52/D52*145.038/SQRT(145.038*L52)</f>
        <v>17.2200813846225</v>
      </c>
      <c r="AF52" s="32" t="n">
        <f aca="false">AD52*1000/C52/D52</f>
        <v>13.26</v>
      </c>
    </row>
    <row r="53" customFormat="false" ht="25.5" hidden="false" customHeight="true" outlineLevel="0" collapsed="false">
      <c r="A53" s="42"/>
      <c r="B53" s="25" t="s">
        <v>68</v>
      </c>
      <c r="C53" s="26" t="n">
        <v>75</v>
      </c>
      <c r="D53" s="26" t="n">
        <v>1000</v>
      </c>
      <c r="E53" s="26" t="n">
        <v>1000</v>
      </c>
      <c r="F53" s="13" t="n">
        <v>1</v>
      </c>
      <c r="G53" s="20" t="n">
        <v>1</v>
      </c>
      <c r="H53" s="26" t="n">
        <v>3</v>
      </c>
      <c r="I53" s="26" t="n">
        <v>1</v>
      </c>
      <c r="J53" s="26" t="n">
        <v>1</v>
      </c>
      <c r="K53" s="43" t="n">
        <v>0.103359173126615</v>
      </c>
      <c r="L53" s="20" t="n">
        <v>86</v>
      </c>
      <c r="M53" s="20" t="n">
        <v>6.43072</v>
      </c>
      <c r="N53" s="20" t="n">
        <v>535</v>
      </c>
      <c r="O53" s="20" t="n">
        <v>0.133973333333333</v>
      </c>
      <c r="P53" s="20" t="n">
        <v>1.33973333333333</v>
      </c>
      <c r="Q53" s="20" t="n">
        <v>498</v>
      </c>
      <c r="R53" s="20" t="n">
        <v>1.33973333333333</v>
      </c>
      <c r="S53" s="20" t="n">
        <v>498</v>
      </c>
      <c r="U53" s="48" t="n">
        <v>22</v>
      </c>
      <c r="V53" s="28" t="n">
        <v>0.277777777777778</v>
      </c>
      <c r="W53" s="29" t="n">
        <f aca="false">D53/C53</f>
        <v>13.3333333333333</v>
      </c>
      <c r="X53" s="13"/>
      <c r="Y53" s="30" t="n">
        <v>7.75799069767442</v>
      </c>
      <c r="Z53" s="30" t="n">
        <v>7.75799069767442</v>
      </c>
      <c r="AA53" s="30" t="n">
        <v>0.45566511627907</v>
      </c>
      <c r="AB53" s="30" t="n">
        <v>40.0050604651163</v>
      </c>
      <c r="AD53" s="31" t="n">
        <v>1189</v>
      </c>
      <c r="AE53" s="30" t="n">
        <f aca="false">AD53*1000/C53/D53*145.038/SQRT(145.038*L53)</f>
        <v>20.5879102728167</v>
      </c>
      <c r="AF53" s="32" t="n">
        <f aca="false">AD53*1000/C53/D53</f>
        <v>15.8533333333333</v>
      </c>
    </row>
    <row r="54" customFormat="false" ht="25.5" hidden="false" customHeight="true" outlineLevel="0" collapsed="false">
      <c r="A54" s="42"/>
      <c r="B54" s="25" t="s">
        <v>69</v>
      </c>
      <c r="C54" s="26" t="n">
        <v>75</v>
      </c>
      <c r="D54" s="26" t="n">
        <v>1000</v>
      </c>
      <c r="E54" s="26" t="n">
        <v>1000</v>
      </c>
      <c r="F54" s="13" t="n">
        <v>1</v>
      </c>
      <c r="G54" s="20" t="n">
        <v>1</v>
      </c>
      <c r="H54" s="26" t="n">
        <v>3</v>
      </c>
      <c r="I54" s="26" t="n">
        <v>1</v>
      </c>
      <c r="J54" s="26" t="n">
        <v>1</v>
      </c>
      <c r="K54" s="43" t="n">
        <v>0.0925925925925926</v>
      </c>
      <c r="L54" s="20" t="n">
        <v>96</v>
      </c>
      <c r="M54" s="20" t="n">
        <v>6.43072</v>
      </c>
      <c r="N54" s="20" t="n">
        <v>535</v>
      </c>
      <c r="O54" s="20" t="n">
        <v>0.133973333333333</v>
      </c>
      <c r="P54" s="20" t="n">
        <v>0.7536</v>
      </c>
      <c r="Q54" s="20" t="n">
        <v>536</v>
      </c>
      <c r="R54" s="20" t="n">
        <v>0.837333333333333</v>
      </c>
      <c r="S54" s="20" t="n">
        <v>498</v>
      </c>
      <c r="U54" s="48" t="n">
        <v>22</v>
      </c>
      <c r="V54" s="28" t="n">
        <v>0.277777777777778</v>
      </c>
      <c r="W54" s="29" t="n">
        <f aca="false">D54/C54</f>
        <v>13.3333333333333</v>
      </c>
      <c r="X54" s="13"/>
      <c r="Y54" s="30" t="n">
        <v>4.34366666666667</v>
      </c>
      <c r="Z54" s="30" t="n">
        <v>4.2076</v>
      </c>
      <c r="AA54" s="30" t="n">
        <v>0.4082</v>
      </c>
      <c r="AB54" s="30" t="n">
        <v>35.8378666666667</v>
      </c>
      <c r="AD54" s="31" t="n">
        <v>1103</v>
      </c>
      <c r="AE54" s="30" t="n">
        <f aca="false">AD54*1000/C54/D54*145.038/SQRT(145.038*L54)</f>
        <v>18.0767159495917</v>
      </c>
      <c r="AF54" s="32" t="n">
        <f aca="false">AD54*1000/C54/D54</f>
        <v>14.7066666666667</v>
      </c>
    </row>
    <row r="55" customFormat="false" ht="25.5" hidden="false" customHeight="true" outlineLevel="0" collapsed="false">
      <c r="A55" s="42"/>
      <c r="B55" s="25" t="s">
        <v>70</v>
      </c>
      <c r="C55" s="26" t="n">
        <v>75</v>
      </c>
      <c r="D55" s="26" t="n">
        <v>1000</v>
      </c>
      <c r="E55" s="26" t="n">
        <v>1000</v>
      </c>
      <c r="F55" s="13" t="n">
        <v>1</v>
      </c>
      <c r="G55" s="20" t="n">
        <v>1</v>
      </c>
      <c r="H55" s="26" t="n">
        <v>3</v>
      </c>
      <c r="I55" s="26" t="n">
        <v>1</v>
      </c>
      <c r="J55" s="26" t="n">
        <v>1</v>
      </c>
      <c r="K55" s="43" t="n">
        <v>0</v>
      </c>
      <c r="L55" s="20" t="n">
        <v>96</v>
      </c>
      <c r="M55" s="20" t="n">
        <v>6.43072</v>
      </c>
      <c r="N55" s="20" t="n">
        <v>535</v>
      </c>
      <c r="O55" s="20" t="n">
        <v>0.133973333333333</v>
      </c>
      <c r="P55" s="20" t="n">
        <v>0.7536</v>
      </c>
      <c r="Q55" s="20" t="n">
        <v>536</v>
      </c>
      <c r="R55" s="20" t="n">
        <v>0.837333333333333</v>
      </c>
      <c r="S55" s="20" t="n">
        <v>498</v>
      </c>
      <c r="U55" s="48" t="n">
        <v>22</v>
      </c>
      <c r="V55" s="28" t="n">
        <v>0.277777777777778</v>
      </c>
      <c r="W55" s="29" t="n">
        <f aca="false">D55/C55</f>
        <v>13.3333333333333</v>
      </c>
      <c r="X55" s="13"/>
      <c r="Y55" s="30" t="n">
        <v>4.34366666666667</v>
      </c>
      <c r="Z55" s="30" t="n">
        <v>4.2076</v>
      </c>
      <c r="AA55" s="30" t="n">
        <v>0.4082</v>
      </c>
      <c r="AB55" s="30" t="n">
        <v>35.8378666666667</v>
      </c>
      <c r="AD55" s="31" t="n">
        <v>728.5</v>
      </c>
      <c r="AE55" s="30" t="n">
        <f aca="false">AD55*1000/C55/D55*145.038/SQRT(145.038*L55)</f>
        <v>11.9391546412308</v>
      </c>
      <c r="AF55" s="32" t="n">
        <f aca="false">AD55*1000/C55/D55</f>
        <v>9.71333333333334</v>
      </c>
    </row>
    <row r="56" customFormat="false" ht="25.5" hidden="false" customHeight="true" outlineLevel="0" collapsed="false">
      <c r="A56" s="42"/>
      <c r="B56" s="25" t="s">
        <v>71</v>
      </c>
      <c r="C56" s="26" t="n">
        <v>75</v>
      </c>
      <c r="D56" s="26" t="n">
        <v>1000</v>
      </c>
      <c r="E56" s="26" t="n">
        <v>1000</v>
      </c>
      <c r="F56" s="13" t="n">
        <v>1</v>
      </c>
      <c r="G56" s="20" t="n">
        <v>1</v>
      </c>
      <c r="H56" s="26" t="n">
        <v>3</v>
      </c>
      <c r="I56" s="26" t="n">
        <v>1</v>
      </c>
      <c r="J56" s="26" t="n">
        <v>1</v>
      </c>
      <c r="K56" s="43" t="n">
        <v>0.107095046854083</v>
      </c>
      <c r="L56" s="20" t="n">
        <v>83</v>
      </c>
      <c r="M56" s="20" t="n">
        <v>6.43072</v>
      </c>
      <c r="N56" s="20" t="n">
        <v>535</v>
      </c>
      <c r="O56" s="20" t="n">
        <v>0.133973333333333</v>
      </c>
      <c r="P56" s="20" t="n">
        <v>0.45125748502994</v>
      </c>
      <c r="Q56" s="20" t="n">
        <v>536</v>
      </c>
      <c r="R56" s="20" t="n">
        <v>1.33973333333333</v>
      </c>
      <c r="S56" s="20" t="n">
        <v>498</v>
      </c>
      <c r="U56" s="48" t="n">
        <v>22</v>
      </c>
      <c r="V56" s="28" t="n">
        <v>0.277777777777778</v>
      </c>
      <c r="W56" s="29" t="n">
        <f aca="false">D56/C56</f>
        <v>13.3333333333333</v>
      </c>
      <c r="X56" s="13"/>
      <c r="Y56" s="30" t="n">
        <v>8.0384</v>
      </c>
      <c r="Z56" s="30" t="n">
        <v>2.91414472260299</v>
      </c>
      <c r="AA56" s="30" t="n">
        <v>0.472134939759036</v>
      </c>
      <c r="AB56" s="30" t="n">
        <v>41.4510265060241</v>
      </c>
      <c r="AD56" s="31" t="n">
        <v>1096</v>
      </c>
      <c r="AE56" s="30" t="n">
        <f aca="false">AD56*1000/C56/D56*145.038/SQRT(145.038*L56)</f>
        <v>19.3175100020972</v>
      </c>
      <c r="AF56" s="32" t="n">
        <f aca="false">AD56*1000/C56/D56</f>
        <v>14.6133333333333</v>
      </c>
    </row>
    <row r="57" customFormat="false" ht="25.5" hidden="false" customHeight="true" outlineLevel="0" collapsed="false">
      <c r="A57" s="42"/>
      <c r="B57" s="25" t="s">
        <v>72</v>
      </c>
      <c r="C57" s="26" t="n">
        <v>75</v>
      </c>
      <c r="D57" s="26" t="n">
        <v>1000</v>
      </c>
      <c r="E57" s="26" t="n">
        <v>1000</v>
      </c>
      <c r="F57" s="13" t="n">
        <v>1</v>
      </c>
      <c r="G57" s="20" t="n">
        <v>1</v>
      </c>
      <c r="H57" s="26" t="n">
        <v>3</v>
      </c>
      <c r="I57" s="26" t="n">
        <v>1</v>
      </c>
      <c r="J57" s="26" t="n">
        <v>1</v>
      </c>
      <c r="K57" s="43" t="n">
        <v>0.107095046854083</v>
      </c>
      <c r="L57" s="20" t="n">
        <v>83</v>
      </c>
      <c r="M57" s="20" t="n">
        <v>6.43072</v>
      </c>
      <c r="N57" s="20" t="n">
        <v>535</v>
      </c>
      <c r="O57" s="20" t="n">
        <v>0.133973333333333</v>
      </c>
      <c r="P57" s="20" t="n">
        <v>0.936876456876457</v>
      </c>
      <c r="Q57" s="20" t="n">
        <v>498</v>
      </c>
      <c r="R57" s="20" t="n">
        <v>1.00731829573935</v>
      </c>
      <c r="S57" s="20" t="n">
        <v>498</v>
      </c>
      <c r="U57" s="48" t="n">
        <v>22</v>
      </c>
      <c r="V57" s="28" t="n">
        <v>0.277777777777778</v>
      </c>
      <c r="W57" s="29" t="n">
        <f aca="false">D57/C57</f>
        <v>13.3333333333333</v>
      </c>
      <c r="X57" s="13"/>
      <c r="Y57" s="30" t="n">
        <v>6.04390977443609</v>
      </c>
      <c r="Z57" s="30" t="n">
        <v>5.62125874125874</v>
      </c>
      <c r="AA57" s="30" t="n">
        <v>0.472134939759036</v>
      </c>
      <c r="AB57" s="30" t="n">
        <v>41.4510265060241</v>
      </c>
      <c r="AD57" s="31" t="n">
        <v>1110.15</v>
      </c>
      <c r="AE57" s="30" t="n">
        <f aca="false">AD57*1000/C57/D57*145.038/SQRT(145.038*L57)</f>
        <v>19.5669103365221</v>
      </c>
      <c r="AF57" s="32" t="n">
        <f aca="false">AD57*1000/C57/D57</f>
        <v>14.802</v>
      </c>
    </row>
    <row r="58" customFormat="false" ht="25.5" hidden="false" customHeight="true" outlineLevel="0" collapsed="false">
      <c r="A58" s="42" t="s">
        <v>94</v>
      </c>
      <c r="B58" s="25" t="s">
        <v>95</v>
      </c>
      <c r="C58" s="26" t="n">
        <v>90</v>
      </c>
      <c r="D58" s="26" t="n">
        <v>1802</v>
      </c>
      <c r="E58" s="26" t="n">
        <v>3990</v>
      </c>
      <c r="F58" s="13" t="n">
        <v>2.21</v>
      </c>
      <c r="G58" s="20" t="n">
        <v>2.2142064372919</v>
      </c>
      <c r="H58" s="26" t="n">
        <v>1</v>
      </c>
      <c r="I58" s="26" t="n">
        <v>2</v>
      </c>
      <c r="J58" s="26" t="n">
        <v>1</v>
      </c>
      <c r="K58" s="43" t="n">
        <v>0.0266190231269682</v>
      </c>
      <c r="L58" s="20" t="n">
        <v>41</v>
      </c>
      <c r="M58" s="20" t="n">
        <v>3.83990514905149</v>
      </c>
      <c r="N58" s="20" t="n">
        <v>420</v>
      </c>
      <c r="O58" s="20" t="n">
        <v>1.30406913580247</v>
      </c>
      <c r="P58" s="20" t="n">
        <v>1.30406913580247</v>
      </c>
      <c r="Q58" s="20" t="n">
        <v>510</v>
      </c>
      <c r="R58" s="20" t="n">
        <v>2.86247474747475</v>
      </c>
      <c r="S58" s="20" t="n">
        <v>420</v>
      </c>
      <c r="U58" s="13" t="n">
        <v>3</v>
      </c>
      <c r="V58" s="28" t="n">
        <v>0.0455049944506104</v>
      </c>
      <c r="W58" s="29" t="n">
        <f aca="false">D58/C58</f>
        <v>20.0222222222222</v>
      </c>
      <c r="X58" s="13"/>
      <c r="Y58" s="30" t="n">
        <v>29.3229120473023</v>
      </c>
      <c r="Z58" s="30" t="n">
        <v>16.2213477868112</v>
      </c>
      <c r="AA58" s="30" t="n">
        <v>16.2213477868112</v>
      </c>
      <c r="AB58" s="30" t="n">
        <v>39.3356137219909</v>
      </c>
      <c r="AD58" s="31" t="n">
        <v>345.6298</v>
      </c>
      <c r="AE58" s="30" t="n">
        <f aca="false">AD58*1000/C58/D58*145.038/SQRT(145.038*L58)</f>
        <v>4.00832434825603</v>
      </c>
      <c r="AF58" s="32" t="n">
        <f aca="false">AD58*1000/C58/D58</f>
        <v>2.13114934023924</v>
      </c>
    </row>
    <row r="59" customFormat="false" ht="25.5" hidden="false" customHeight="true" outlineLevel="0" collapsed="false">
      <c r="A59" s="42"/>
      <c r="B59" s="25" t="s">
        <v>96</v>
      </c>
      <c r="C59" s="26" t="n">
        <v>90</v>
      </c>
      <c r="D59" s="26" t="n">
        <v>1802</v>
      </c>
      <c r="E59" s="26" t="n">
        <v>3990</v>
      </c>
      <c r="F59" s="13" t="n">
        <v>2.21</v>
      </c>
      <c r="G59" s="20" t="n">
        <v>2.2142064372919</v>
      </c>
      <c r="H59" s="26" t="n">
        <v>3</v>
      </c>
      <c r="I59" s="26" t="n">
        <v>2</v>
      </c>
      <c r="J59" s="26" t="n">
        <v>1</v>
      </c>
      <c r="K59" s="43" t="n">
        <v>0.0216950934376681</v>
      </c>
      <c r="L59" s="20" t="n">
        <v>41</v>
      </c>
      <c r="M59" s="20" t="n">
        <v>2.23313632781718</v>
      </c>
      <c r="N59" s="20" t="n">
        <v>420</v>
      </c>
      <c r="O59" s="20" t="n">
        <v>0.832384554767534</v>
      </c>
      <c r="P59" s="20" t="n">
        <v>1.06696565656566</v>
      </c>
      <c r="Q59" s="20" t="n">
        <v>510</v>
      </c>
      <c r="R59" s="20" t="n">
        <v>1.34345481481482</v>
      </c>
      <c r="S59" s="20" t="n">
        <v>480</v>
      </c>
      <c r="U59" s="13" t="n">
        <v>3</v>
      </c>
      <c r="V59" s="28" t="n">
        <v>0.12900274473925</v>
      </c>
      <c r="W59" s="29" t="n">
        <f aca="false">D59/C59</f>
        <v>20.0222222222222</v>
      </c>
      <c r="X59" s="13"/>
      <c r="Y59" s="30" t="n">
        <v>15.7282514905149</v>
      </c>
      <c r="Z59" s="30" t="n">
        <v>13.2720118255728</v>
      </c>
      <c r="AA59" s="30" t="n">
        <v>10.3540517788157</v>
      </c>
      <c r="AB59" s="30" t="n">
        <v>22.8760306752004</v>
      </c>
      <c r="AD59" s="31" t="n">
        <v>322</v>
      </c>
      <c r="AE59" s="30" t="n">
        <f aca="false">AD59*1000/C59/D59*145.038/SQRT(145.038*L59)</f>
        <v>3.73428575932527</v>
      </c>
      <c r="AF59" s="32" t="n">
        <f aca="false">AD59*1000/C59/D59</f>
        <v>1.98544826735726</v>
      </c>
    </row>
    <row r="60" customFormat="false" ht="25.5" hidden="false" customHeight="true" outlineLevel="0" collapsed="false">
      <c r="A60" s="42"/>
      <c r="B60" s="25" t="s">
        <v>97</v>
      </c>
      <c r="C60" s="26" t="n">
        <v>90</v>
      </c>
      <c r="D60" s="26" t="n">
        <v>1802</v>
      </c>
      <c r="E60" s="26" t="n">
        <v>3990</v>
      </c>
      <c r="F60" s="13" t="n">
        <v>2.21</v>
      </c>
      <c r="G60" s="20" t="n">
        <v>2.2142064372919</v>
      </c>
      <c r="H60" s="26" t="n">
        <v>2</v>
      </c>
      <c r="I60" s="26" t="n">
        <v>2</v>
      </c>
      <c r="J60" s="26" t="n">
        <v>1</v>
      </c>
      <c r="K60" s="43" t="n">
        <v>0.0216302269443411</v>
      </c>
      <c r="L60" s="20" t="n">
        <v>41</v>
      </c>
      <c r="M60" s="20" t="n">
        <v>2.0700146092038</v>
      </c>
      <c r="N60" s="20" t="n">
        <v>420</v>
      </c>
      <c r="O60" s="20" t="n">
        <v>1.03812874692875</v>
      </c>
      <c r="P60" s="20" t="n">
        <v>1.06696565656566</v>
      </c>
      <c r="Q60" s="20" t="n">
        <v>510</v>
      </c>
      <c r="R60" s="20" t="n">
        <v>1.43941587301587</v>
      </c>
      <c r="S60" s="20" t="n">
        <v>480</v>
      </c>
      <c r="U60" s="13" t="n">
        <v>3</v>
      </c>
      <c r="V60" s="28" t="n">
        <v>0.173440429736989</v>
      </c>
      <c r="W60" s="29" t="n">
        <f aca="false">D60/C60</f>
        <v>20.0222222222222</v>
      </c>
      <c r="X60" s="13"/>
      <c r="Y60" s="30" t="n">
        <v>16.8516980255517</v>
      </c>
      <c r="Z60" s="30" t="n">
        <v>13.2720118255728</v>
      </c>
      <c r="AA60" s="30" t="n">
        <v>12.91330880326</v>
      </c>
      <c r="AB60" s="30" t="n">
        <v>21.2050277040389</v>
      </c>
      <c r="AD60" s="31" t="n">
        <v>323.8748</v>
      </c>
      <c r="AE60" s="30" t="n">
        <f aca="false">AD60*1000/C60/D60*145.038/SQRT(145.038*L60)</f>
        <v>3.75602811628671</v>
      </c>
      <c r="AF60" s="32" t="n">
        <f aca="false">AD60*1000/C60/D60</f>
        <v>1.99700826242447</v>
      </c>
    </row>
    <row r="61" customFormat="false" ht="25.5" hidden="false" customHeight="true" outlineLevel="0" collapsed="false">
      <c r="A61" s="42" t="s">
        <v>98</v>
      </c>
      <c r="B61" s="49" t="s">
        <v>99</v>
      </c>
      <c r="C61" s="26" t="n">
        <v>200</v>
      </c>
      <c r="D61" s="26" t="n">
        <v>1300</v>
      </c>
      <c r="E61" s="26" t="n">
        <v>2700</v>
      </c>
      <c r="F61" s="13" t="n">
        <v>2.08</v>
      </c>
      <c r="G61" s="13" t="n">
        <v>2.08</v>
      </c>
      <c r="H61" s="26" t="n">
        <v>1</v>
      </c>
      <c r="I61" s="26" t="n">
        <v>2</v>
      </c>
      <c r="J61" s="26" t="n">
        <v>1</v>
      </c>
      <c r="K61" s="20" t="n">
        <v>0</v>
      </c>
      <c r="L61" s="20" t="n">
        <v>28.3</v>
      </c>
      <c r="M61" s="13" t="n">
        <v>3.852</v>
      </c>
      <c r="N61" s="24" t="n">
        <v>412</v>
      </c>
      <c r="O61" s="43" t="n">
        <v>1.0028749148422</v>
      </c>
      <c r="P61" s="43" t="n">
        <v>0.670206432765823</v>
      </c>
      <c r="Q61" s="13" t="n">
        <v>452</v>
      </c>
      <c r="R61" s="13" t="n">
        <v>0.681</v>
      </c>
      <c r="S61" s="13" t="n">
        <v>448</v>
      </c>
      <c r="U61" s="13"/>
      <c r="V61" s="28" t="n">
        <v>0.159230769230769</v>
      </c>
      <c r="W61" s="29" t="n">
        <f aca="false">D61/C61</f>
        <v>6.5</v>
      </c>
      <c r="X61" s="13"/>
      <c r="Y61" s="30" t="n">
        <v>10.7804946996466</v>
      </c>
      <c r="Z61" s="30" t="n">
        <v>10.7043571593693</v>
      </c>
      <c r="AA61" s="30" t="n">
        <v>16.5846452348463</v>
      </c>
      <c r="AB61" s="30" t="n">
        <v>56.0785865724382</v>
      </c>
      <c r="AD61" s="31" t="n">
        <v>421.5755</v>
      </c>
      <c r="AE61" s="30" t="n">
        <f aca="false">AD61*1000/C61/D61*145.038/SQRT(145.038*L61)</f>
        <v>3.67070682455876</v>
      </c>
      <c r="AF61" s="32" t="n">
        <f aca="false">AD61*1000/C61/D61</f>
        <v>1.62144423076923</v>
      </c>
    </row>
    <row r="62" customFormat="false" ht="25.5" hidden="false" customHeight="true" outlineLevel="0" collapsed="false">
      <c r="A62" s="42"/>
      <c r="B62" s="49" t="s">
        <v>100</v>
      </c>
      <c r="C62" s="26" t="n">
        <v>84</v>
      </c>
      <c r="D62" s="26" t="n">
        <v>548</v>
      </c>
      <c r="E62" s="26" t="n">
        <v>1140</v>
      </c>
      <c r="F62" s="13" t="n">
        <v>2.08</v>
      </c>
      <c r="G62" s="13" t="n">
        <v>2.08</v>
      </c>
      <c r="H62" s="26" t="n">
        <v>1</v>
      </c>
      <c r="I62" s="26" t="n">
        <v>2</v>
      </c>
      <c r="J62" s="26" t="n">
        <v>1</v>
      </c>
      <c r="K62" s="20" t="n">
        <v>0</v>
      </c>
      <c r="L62" s="20" t="n">
        <v>47</v>
      </c>
      <c r="M62" s="13" t="n">
        <v>4.088</v>
      </c>
      <c r="N62" s="13" t="n">
        <v>450</v>
      </c>
      <c r="O62" s="43" t="n">
        <v>1.02582617260075</v>
      </c>
      <c r="P62" s="43" t="n">
        <v>0.667939063067919</v>
      </c>
      <c r="Q62" s="13" t="n">
        <v>450</v>
      </c>
      <c r="R62" s="13" t="n">
        <v>0.666</v>
      </c>
      <c r="S62" s="13" t="n">
        <v>450</v>
      </c>
      <c r="U62" s="13"/>
      <c r="V62" s="28" t="n">
        <v>0.151459854014599</v>
      </c>
      <c r="W62" s="29" t="n">
        <f aca="false">D62/C62</f>
        <v>6.52380952380952</v>
      </c>
      <c r="X62" s="13"/>
      <c r="Y62" s="30" t="n">
        <v>6.37659574468085</v>
      </c>
      <c r="Z62" s="30" t="n">
        <v>6.39516124213965</v>
      </c>
      <c r="AA62" s="30" t="n">
        <v>10.5465843587746</v>
      </c>
      <c r="AB62" s="30" t="n">
        <v>39.1404255319149</v>
      </c>
      <c r="AD62" s="31" t="n">
        <v>75.5025</v>
      </c>
      <c r="AE62" s="30" t="n">
        <f aca="false">AD62*1000/C62/D62*145.038/SQRT(145.038*L62)</f>
        <v>2.88133304282236</v>
      </c>
      <c r="AF62" s="32" t="n">
        <f aca="false">AD62*1000/C62/D62</f>
        <v>1.64021767466111</v>
      </c>
    </row>
    <row r="63" customFormat="false" ht="25.5" hidden="false" customHeight="true" outlineLevel="0" collapsed="false">
      <c r="A63" s="33" t="s">
        <v>101</v>
      </c>
      <c r="B63" s="34" t="s">
        <v>102</v>
      </c>
      <c r="C63" s="26" t="n">
        <v>100</v>
      </c>
      <c r="D63" s="26" t="n">
        <v>1000</v>
      </c>
      <c r="E63" s="26" t="n">
        <v>690</v>
      </c>
      <c r="F63" s="20" t="n">
        <v>0.69</v>
      </c>
      <c r="G63" s="20" t="n">
        <v>0.69</v>
      </c>
      <c r="H63" s="26" t="n">
        <v>1</v>
      </c>
      <c r="I63" s="26" t="n">
        <v>2</v>
      </c>
      <c r="J63" s="26" t="n">
        <v>1</v>
      </c>
      <c r="K63" s="20" t="n">
        <v>0.022</v>
      </c>
      <c r="L63" s="20" t="n">
        <v>50.7</v>
      </c>
      <c r="M63" s="20" t="n">
        <v>0</v>
      </c>
      <c r="N63" s="20" t="n">
        <v>0</v>
      </c>
      <c r="O63" s="20" t="n">
        <v>0</v>
      </c>
      <c r="P63" s="20" t="n">
        <v>0.297473684210526</v>
      </c>
      <c r="Q63" s="20" t="n">
        <v>504</v>
      </c>
      <c r="R63" s="20" t="n">
        <v>0.297473684210526</v>
      </c>
      <c r="S63" s="20" t="n">
        <v>504</v>
      </c>
      <c r="U63" s="35"/>
      <c r="V63" s="28" t="n">
        <v>0</v>
      </c>
      <c r="W63" s="29" t="n">
        <f aca="false">D63/C63</f>
        <v>10</v>
      </c>
      <c r="X63" s="35"/>
      <c r="Y63" s="30" t="n">
        <v>2.95713484895671</v>
      </c>
      <c r="Z63" s="30" t="n">
        <v>2.95713484895671</v>
      </c>
      <c r="AA63" s="30" t="n">
        <v>0</v>
      </c>
      <c r="AB63" s="30" t="n">
        <v>0</v>
      </c>
      <c r="AD63" s="31" t="n">
        <v>211.1</v>
      </c>
      <c r="AE63" s="30" t="n">
        <f aca="false">AD63*1000/C63/D63*145.038/SQRT(145.038*L63)</f>
        <v>3.57046808018187</v>
      </c>
      <c r="AF63" s="32" t="n">
        <f aca="false">AD63*1000/C63/D63</f>
        <v>2.111</v>
      </c>
    </row>
    <row r="64" customFormat="false" ht="25.5" hidden="false" customHeight="true" outlineLevel="0" collapsed="false">
      <c r="A64" s="33"/>
      <c r="B64" s="34" t="s">
        <v>103</v>
      </c>
      <c r="C64" s="26" t="n">
        <v>100</v>
      </c>
      <c r="D64" s="26" t="n">
        <v>1000</v>
      </c>
      <c r="E64" s="26" t="n">
        <v>690</v>
      </c>
      <c r="F64" s="20" t="n">
        <v>0.69</v>
      </c>
      <c r="G64" s="20" t="n">
        <v>0.69</v>
      </c>
      <c r="H64" s="26" t="n">
        <v>1</v>
      </c>
      <c r="I64" s="26" t="n">
        <v>2</v>
      </c>
      <c r="J64" s="26" t="n">
        <v>1</v>
      </c>
      <c r="K64" s="20" t="n">
        <v>0.022</v>
      </c>
      <c r="L64" s="20" t="n">
        <v>51</v>
      </c>
      <c r="M64" s="20" t="n">
        <v>0</v>
      </c>
      <c r="N64" s="20" t="n">
        <v>0</v>
      </c>
      <c r="O64" s="20" t="n">
        <v>0</v>
      </c>
      <c r="P64" s="20" t="n">
        <v>0.297473684210526</v>
      </c>
      <c r="Q64" s="20" t="n">
        <v>504</v>
      </c>
      <c r="R64" s="20" t="n">
        <v>0.297473684210526</v>
      </c>
      <c r="S64" s="20" t="n">
        <v>504</v>
      </c>
      <c r="U64" s="35"/>
      <c r="V64" s="28" t="n">
        <v>0</v>
      </c>
      <c r="W64" s="29" t="n">
        <f aca="false">D64/C64</f>
        <v>10</v>
      </c>
      <c r="X64" s="35"/>
      <c r="Y64" s="30" t="n">
        <v>2.9397399380805</v>
      </c>
      <c r="Z64" s="30" t="n">
        <v>2.9397399380805</v>
      </c>
      <c r="AA64" s="30" t="n">
        <v>0</v>
      </c>
      <c r="AB64" s="30" t="n">
        <v>0</v>
      </c>
      <c r="AD64" s="31" t="n">
        <v>205.424</v>
      </c>
      <c r="AE64" s="30" t="n">
        <f aca="false">AD64*1000/C64/D64*145.038/SQRT(145.038*L64)</f>
        <v>3.46423220428975</v>
      </c>
      <c r="AF64" s="32" t="n">
        <f aca="false">AD64*1000/C64/D64</f>
        <v>2.05424</v>
      </c>
    </row>
    <row r="65" customFormat="false" ht="25.5" hidden="false" customHeight="true" outlineLevel="0" collapsed="false">
      <c r="A65" s="33"/>
      <c r="B65" s="34" t="s">
        <v>104</v>
      </c>
      <c r="C65" s="26" t="n">
        <v>80</v>
      </c>
      <c r="D65" s="26" t="n">
        <v>900</v>
      </c>
      <c r="E65" s="26" t="n">
        <v>690</v>
      </c>
      <c r="F65" s="20" t="n">
        <v>0.77</v>
      </c>
      <c r="G65" s="20" t="n">
        <v>0.766666666666667</v>
      </c>
      <c r="H65" s="26" t="n">
        <v>1</v>
      </c>
      <c r="I65" s="26" t="n">
        <v>2</v>
      </c>
      <c r="J65" s="26" t="n">
        <v>1</v>
      </c>
      <c r="K65" s="43" t="n">
        <v>0.0939745715865119</v>
      </c>
      <c r="L65" s="20" t="n">
        <v>20.1</v>
      </c>
      <c r="M65" s="20" t="n">
        <v>0</v>
      </c>
      <c r="N65" s="20" t="n">
        <v>0</v>
      </c>
      <c r="O65" s="20" t="n">
        <v>0</v>
      </c>
      <c r="P65" s="20" t="n">
        <v>0.257377049180328</v>
      </c>
      <c r="Q65" s="20" t="n">
        <v>745</v>
      </c>
      <c r="R65" s="20" t="n">
        <v>0.322602739726027</v>
      </c>
      <c r="S65" s="20" t="n">
        <v>504</v>
      </c>
      <c r="U65" s="35"/>
      <c r="V65" s="28" t="n">
        <v>0</v>
      </c>
      <c r="W65" s="29" t="n">
        <f aca="false">D65/C65</f>
        <v>11.25</v>
      </c>
      <c r="X65" s="35"/>
      <c r="Y65" s="30" t="n">
        <v>8.08914332447352</v>
      </c>
      <c r="Z65" s="30" t="n">
        <v>9.53959709648479</v>
      </c>
      <c r="AA65" s="30" t="n">
        <v>0</v>
      </c>
      <c r="AB65" s="30" t="n">
        <v>0</v>
      </c>
      <c r="AD65" s="31" t="n">
        <v>174.5895</v>
      </c>
      <c r="AE65" s="30" t="n">
        <f aca="false">AD65*1000/C65/D65*145.038/SQRT(145.038*L65)</f>
        <v>6.5137111708461</v>
      </c>
      <c r="AF65" s="32" t="n">
        <f aca="false">AD65*1000/C65/D65</f>
        <v>2.42485416666667</v>
      </c>
    </row>
    <row r="66" customFormat="false" ht="25.5" hidden="false" customHeight="true" outlineLevel="0" collapsed="false">
      <c r="A66" s="33"/>
      <c r="B66" s="34" t="s">
        <v>105</v>
      </c>
      <c r="C66" s="26" t="n">
        <v>80</v>
      </c>
      <c r="D66" s="26" t="n">
        <v>900</v>
      </c>
      <c r="E66" s="26" t="n">
        <v>690</v>
      </c>
      <c r="F66" s="20" t="n">
        <v>0.77</v>
      </c>
      <c r="G66" s="20" t="n">
        <v>0.766666666666667</v>
      </c>
      <c r="H66" s="26" t="n">
        <v>1</v>
      </c>
      <c r="I66" s="26" t="n">
        <v>1</v>
      </c>
      <c r="J66" s="26" t="n">
        <v>1</v>
      </c>
      <c r="K66" s="43" t="n">
        <v>0.100182149362477</v>
      </c>
      <c r="L66" s="20" t="n">
        <v>24.4</v>
      </c>
      <c r="M66" s="20" t="n">
        <v>0</v>
      </c>
      <c r="N66" s="20" t="n">
        <v>0</v>
      </c>
      <c r="O66" s="20" t="n">
        <v>0</v>
      </c>
      <c r="P66" s="20" t="n">
        <v>0.257377049180328</v>
      </c>
      <c r="Q66" s="20" t="n">
        <v>745</v>
      </c>
      <c r="R66" s="20" t="n">
        <v>0.322602739726027</v>
      </c>
      <c r="S66" s="20" t="n">
        <v>504</v>
      </c>
      <c r="U66" s="35"/>
      <c r="V66" s="28" t="n">
        <v>0</v>
      </c>
      <c r="W66" s="29" t="n">
        <f aca="false">D66/C66</f>
        <v>11.25</v>
      </c>
      <c r="X66" s="35"/>
      <c r="Y66" s="30" t="n">
        <v>6.66359757466876</v>
      </c>
      <c r="Z66" s="30" t="n">
        <v>7.85843859177641</v>
      </c>
      <c r="AA66" s="30" t="n">
        <v>0</v>
      </c>
      <c r="AB66" s="30" t="n">
        <v>0</v>
      </c>
      <c r="AD66" s="31" t="n">
        <v>134.65</v>
      </c>
      <c r="AE66" s="30" t="n">
        <f aca="false">AD66*1000/C66/D66*145.038/SQRT(145.038*L66)</f>
        <v>4.55952760432884</v>
      </c>
      <c r="AF66" s="32" t="n">
        <f aca="false">AD66*1000/C66/D66</f>
        <v>1.87013888888889</v>
      </c>
    </row>
    <row r="67" customFormat="false" ht="25.5" hidden="false" customHeight="true" outlineLevel="0" collapsed="false">
      <c r="A67" s="42" t="s">
        <v>106</v>
      </c>
      <c r="B67" s="25" t="s">
        <v>107</v>
      </c>
      <c r="C67" s="26" t="n">
        <v>130</v>
      </c>
      <c r="D67" s="26" t="n">
        <v>850</v>
      </c>
      <c r="E67" s="26" t="n">
        <v>580</v>
      </c>
      <c r="F67" s="20" t="n">
        <v>0.682352941176471</v>
      </c>
      <c r="G67" s="20" t="n">
        <v>0.682352941176471</v>
      </c>
      <c r="H67" s="26" t="n">
        <v>3</v>
      </c>
      <c r="I67" s="26" t="n">
        <v>1</v>
      </c>
      <c r="J67" s="26" t="n">
        <v>1</v>
      </c>
      <c r="K67" s="20" t="n">
        <v>0.201430367642226</v>
      </c>
      <c r="L67" s="20" t="n">
        <v>26.1</v>
      </c>
      <c r="M67" s="20" t="n">
        <v>0.88</v>
      </c>
      <c r="N67" s="20" t="n">
        <v>411</v>
      </c>
      <c r="O67" s="20" t="n">
        <v>0.628</v>
      </c>
      <c r="P67" s="20" t="n">
        <v>0.695630769230769</v>
      </c>
      <c r="Q67" s="20" t="n">
        <v>400</v>
      </c>
      <c r="R67" s="20" t="n">
        <v>0.347815384615385</v>
      </c>
      <c r="S67" s="20" t="n">
        <v>414</v>
      </c>
      <c r="U67" s="27"/>
      <c r="V67" s="28" t="n">
        <v>0.287769784172662</v>
      </c>
      <c r="W67" s="29" t="n">
        <f aca="false">D67/C67</f>
        <v>6.53846153846154</v>
      </c>
      <c r="X67" s="13"/>
      <c r="Y67" s="30" t="n">
        <v>5.51707161803714</v>
      </c>
      <c r="Z67" s="30" t="n">
        <v>10.6610079575597</v>
      </c>
      <c r="AA67" s="30" t="n">
        <v>8.13272030651341</v>
      </c>
      <c r="AB67" s="30" t="n">
        <v>13.8574712643678</v>
      </c>
      <c r="AD67" s="31" t="n">
        <v>645.46425</v>
      </c>
      <c r="AE67" s="30" t="n">
        <f aca="false">AD67*1000/C67/D67*145.038/SQRT(145.038*L67)</f>
        <v>13.7698929110244</v>
      </c>
      <c r="AF67" s="32" t="n">
        <f aca="false">AD67*1000/C67/D67</f>
        <v>5.84130542986425</v>
      </c>
    </row>
    <row r="68" customFormat="false" ht="25.5" hidden="false" customHeight="true" outlineLevel="0" collapsed="false">
      <c r="A68" s="42"/>
      <c r="B68" s="25" t="s">
        <v>108</v>
      </c>
      <c r="C68" s="26" t="n">
        <v>130</v>
      </c>
      <c r="D68" s="26" t="n">
        <v>850</v>
      </c>
      <c r="E68" s="26" t="n">
        <v>580</v>
      </c>
      <c r="F68" s="20" t="n">
        <v>0.682352941176471</v>
      </c>
      <c r="G68" s="20" t="n">
        <v>0.682352941176471</v>
      </c>
      <c r="H68" s="26" t="n">
        <v>3</v>
      </c>
      <c r="I68" s="26" t="n">
        <v>1</v>
      </c>
      <c r="J68" s="26" t="n">
        <v>1</v>
      </c>
      <c r="K68" s="20" t="n">
        <v>0.201430367642226</v>
      </c>
      <c r="L68" s="20" t="n">
        <v>26.1</v>
      </c>
      <c r="M68" s="20" t="n">
        <v>1.98</v>
      </c>
      <c r="N68" s="20" t="n">
        <v>457</v>
      </c>
      <c r="O68" s="20" t="n">
        <v>0.628</v>
      </c>
      <c r="P68" s="20" t="n">
        <v>0.695630769230769</v>
      </c>
      <c r="Q68" s="20" t="n">
        <v>400</v>
      </c>
      <c r="R68" s="20" t="n">
        <v>0.347815384615385</v>
      </c>
      <c r="S68" s="20" t="n">
        <v>414</v>
      </c>
      <c r="U68" s="27"/>
      <c r="V68" s="28" t="n">
        <v>0.287769784172662</v>
      </c>
      <c r="W68" s="29" t="n">
        <f aca="false">D68/C68</f>
        <v>6.53846153846154</v>
      </c>
      <c r="X68" s="13"/>
      <c r="Y68" s="30" t="n">
        <v>5.51707161803714</v>
      </c>
      <c r="Z68" s="30" t="n">
        <v>10.6610079575597</v>
      </c>
      <c r="AA68" s="30" t="n">
        <v>8.13272030651341</v>
      </c>
      <c r="AB68" s="30" t="n">
        <v>34.6689655172414</v>
      </c>
      <c r="AD68" s="31" t="n">
        <v>924.91655</v>
      </c>
      <c r="AE68" s="30" t="n">
        <f aca="false">AD68*1000/C68/D68*145.038/SQRT(145.038*L68)</f>
        <v>19.7315371767439</v>
      </c>
      <c r="AF68" s="32" t="n">
        <f aca="false">AD68*1000/C68/D68</f>
        <v>8.37028552036199</v>
      </c>
    </row>
    <row r="69" customFormat="false" ht="25.5" hidden="false" customHeight="true" outlineLevel="0" collapsed="false">
      <c r="A69" s="42"/>
      <c r="B69" s="25" t="s">
        <v>109</v>
      </c>
      <c r="C69" s="26" t="n">
        <v>130</v>
      </c>
      <c r="D69" s="26" t="n">
        <v>850</v>
      </c>
      <c r="E69" s="26" t="n">
        <v>580</v>
      </c>
      <c r="F69" s="20" t="n">
        <v>0.682352941176471</v>
      </c>
      <c r="G69" s="20" t="n">
        <v>0.682352941176471</v>
      </c>
      <c r="H69" s="26" t="n">
        <v>3</v>
      </c>
      <c r="I69" s="26" t="n">
        <v>1</v>
      </c>
      <c r="J69" s="26" t="n">
        <v>1</v>
      </c>
      <c r="K69" s="20" t="n">
        <v>0.498275119957085</v>
      </c>
      <c r="L69" s="20" t="n">
        <v>26.1</v>
      </c>
      <c r="M69" s="20" t="n">
        <v>0.88</v>
      </c>
      <c r="N69" s="20" t="n">
        <v>411</v>
      </c>
      <c r="O69" s="20" t="n">
        <v>0.628</v>
      </c>
      <c r="P69" s="20" t="n">
        <v>0.695630769230769</v>
      </c>
      <c r="Q69" s="20" t="n">
        <v>400</v>
      </c>
      <c r="R69" s="20" t="n">
        <v>0.347815384615385</v>
      </c>
      <c r="S69" s="20" t="n">
        <v>414</v>
      </c>
      <c r="U69" s="27"/>
      <c r="V69" s="28" t="n">
        <v>0.287769784172662</v>
      </c>
      <c r="W69" s="29" t="n">
        <f aca="false">D69/C69</f>
        <v>6.53846153846154</v>
      </c>
      <c r="X69" s="13"/>
      <c r="Y69" s="30" t="n">
        <v>5.51707161803714</v>
      </c>
      <c r="Z69" s="30" t="n">
        <v>10.6610079575597</v>
      </c>
      <c r="AA69" s="30" t="n">
        <v>8.13272030651341</v>
      </c>
      <c r="AB69" s="30" t="n">
        <v>13.8574712643678</v>
      </c>
      <c r="AD69" s="31" t="n">
        <v>968.0802</v>
      </c>
      <c r="AE69" s="30" t="n">
        <f aca="false">AD69*1000/C69/D69*145.038/SQRT(145.038*L69)</f>
        <v>20.6523609685325</v>
      </c>
      <c r="AF69" s="32" t="n">
        <f aca="false">AD69*1000/C69/D69</f>
        <v>8.76090678733032</v>
      </c>
    </row>
    <row r="70" customFormat="false" ht="25.5" hidden="false" customHeight="true" outlineLevel="0" collapsed="false">
      <c r="A70" s="42"/>
      <c r="B70" s="25" t="s">
        <v>110</v>
      </c>
      <c r="C70" s="26" t="n">
        <v>130</v>
      </c>
      <c r="D70" s="26" t="n">
        <v>850</v>
      </c>
      <c r="E70" s="26" t="n">
        <v>580</v>
      </c>
      <c r="F70" s="20" t="n">
        <v>0.682352941176471</v>
      </c>
      <c r="G70" s="20" t="n">
        <v>0.682352941176471</v>
      </c>
      <c r="H70" s="26" t="n">
        <v>3</v>
      </c>
      <c r="I70" s="26" t="n">
        <v>1</v>
      </c>
      <c r="J70" s="26" t="n">
        <v>1</v>
      </c>
      <c r="K70" s="20" t="n">
        <v>0.498275119957085</v>
      </c>
      <c r="L70" s="20" t="n">
        <v>26.1</v>
      </c>
      <c r="M70" s="20" t="n">
        <v>1.98</v>
      </c>
      <c r="N70" s="20" t="n">
        <v>457</v>
      </c>
      <c r="O70" s="20" t="n">
        <v>0.628</v>
      </c>
      <c r="P70" s="20" t="n">
        <v>0.695630769230769</v>
      </c>
      <c r="Q70" s="20" t="n">
        <v>400</v>
      </c>
      <c r="R70" s="20" t="n">
        <v>0.347815384615385</v>
      </c>
      <c r="S70" s="20" t="n">
        <v>414</v>
      </c>
      <c r="U70" s="27"/>
      <c r="V70" s="28" t="n">
        <v>0.287769784172662</v>
      </c>
      <c r="W70" s="29" t="n">
        <f aca="false">D70/C70</f>
        <v>6.53846153846154</v>
      </c>
      <c r="X70" s="13"/>
      <c r="Y70" s="30" t="n">
        <v>5.51707161803714</v>
      </c>
      <c r="Z70" s="30" t="n">
        <v>10.6610079575597</v>
      </c>
      <c r="AA70" s="30" t="n">
        <v>8.13272030651341</v>
      </c>
      <c r="AB70" s="30" t="n">
        <v>34.6689655172414</v>
      </c>
      <c r="AD70" s="31" t="n">
        <v>1053.2376</v>
      </c>
      <c r="AE70" s="30" t="n">
        <f aca="false">AD70*1000/C70/D70*145.038/SQRT(145.038*L70)</f>
        <v>22.4690507055415</v>
      </c>
      <c r="AF70" s="32" t="n">
        <f aca="false">AD70*1000/C70/D70</f>
        <v>9.53156199095023</v>
      </c>
    </row>
    <row r="71" customFormat="false" ht="25.5" hidden="false" customHeight="true" outlineLevel="0" collapsed="false">
      <c r="A71" s="42"/>
      <c r="B71" s="25" t="s">
        <v>111</v>
      </c>
      <c r="C71" s="26" t="n">
        <v>130</v>
      </c>
      <c r="D71" s="26" t="n">
        <v>850</v>
      </c>
      <c r="E71" s="26" t="n">
        <v>920</v>
      </c>
      <c r="F71" s="20" t="n">
        <v>1.08235294117647</v>
      </c>
      <c r="G71" s="20" t="n">
        <v>1.08235294117647</v>
      </c>
      <c r="H71" s="26" t="n">
        <v>3</v>
      </c>
      <c r="I71" s="26" t="n">
        <v>1</v>
      </c>
      <c r="J71" s="26" t="n">
        <v>1</v>
      </c>
      <c r="K71" s="20" t="n">
        <v>0.201430367642226</v>
      </c>
      <c r="L71" s="20" t="n">
        <v>26.1</v>
      </c>
      <c r="M71" s="20" t="n">
        <v>0.88</v>
      </c>
      <c r="N71" s="20" t="n">
        <v>411</v>
      </c>
      <c r="O71" s="20" t="n">
        <v>0.628</v>
      </c>
      <c r="P71" s="20" t="n">
        <v>0.695630769230769</v>
      </c>
      <c r="Q71" s="20" t="n">
        <v>400</v>
      </c>
      <c r="R71" s="20" t="n">
        <v>0.347815384615385</v>
      </c>
      <c r="S71" s="20" t="n">
        <v>414</v>
      </c>
      <c r="U71" s="27"/>
      <c r="V71" s="28" t="n">
        <v>0.287769784172662</v>
      </c>
      <c r="W71" s="29" t="n">
        <f aca="false">D71/C71</f>
        <v>6.53846153846154</v>
      </c>
      <c r="X71" s="13"/>
      <c r="Y71" s="30" t="n">
        <v>5.51707161803714</v>
      </c>
      <c r="Z71" s="30" t="n">
        <v>10.6610079575597</v>
      </c>
      <c r="AA71" s="30" t="n">
        <v>8.13272030651341</v>
      </c>
      <c r="AB71" s="30" t="n">
        <v>13.8574712643678</v>
      </c>
      <c r="AD71" s="31" t="n">
        <v>471.36005</v>
      </c>
      <c r="AE71" s="30" t="n">
        <f aca="false">AD71*1000/C71/D71*145.038/SQRT(145.038*L71)</f>
        <v>10.0556729687742</v>
      </c>
      <c r="AF71" s="32" t="n">
        <f aca="false">AD71*1000/C71/D71</f>
        <v>4.26570180995475</v>
      </c>
    </row>
    <row r="72" customFormat="false" ht="25.5" hidden="false" customHeight="true" outlineLevel="0" collapsed="false">
      <c r="A72" s="42"/>
      <c r="B72" s="25" t="s">
        <v>112</v>
      </c>
      <c r="C72" s="26" t="n">
        <v>130</v>
      </c>
      <c r="D72" s="26" t="n">
        <v>850</v>
      </c>
      <c r="E72" s="26" t="n">
        <v>920</v>
      </c>
      <c r="F72" s="20" t="n">
        <v>1.08235294117647</v>
      </c>
      <c r="G72" s="20" t="n">
        <v>1.08235294117647</v>
      </c>
      <c r="H72" s="26" t="n">
        <v>3</v>
      </c>
      <c r="I72" s="26" t="n">
        <v>1</v>
      </c>
      <c r="J72" s="26" t="n">
        <v>1</v>
      </c>
      <c r="K72" s="20" t="n">
        <v>0.201430367642226</v>
      </c>
      <c r="L72" s="20" t="n">
        <v>26.1</v>
      </c>
      <c r="M72" s="20" t="n">
        <v>1.98</v>
      </c>
      <c r="N72" s="20" t="n">
        <v>457</v>
      </c>
      <c r="O72" s="20" t="n">
        <v>0.628</v>
      </c>
      <c r="P72" s="20" t="n">
        <v>0.695630769230769</v>
      </c>
      <c r="Q72" s="20" t="n">
        <v>400</v>
      </c>
      <c r="R72" s="20" t="n">
        <v>0.347815384615385</v>
      </c>
      <c r="S72" s="20" t="n">
        <v>414</v>
      </c>
      <c r="U72" s="27"/>
      <c r="V72" s="28" t="n">
        <v>0.287769784172662</v>
      </c>
      <c r="W72" s="29" t="n">
        <f aca="false">D72/C72</f>
        <v>6.53846153846154</v>
      </c>
      <c r="X72" s="13"/>
      <c r="Y72" s="30" t="n">
        <v>5.51707161803714</v>
      </c>
      <c r="Z72" s="30" t="n">
        <v>10.6610079575597</v>
      </c>
      <c r="AA72" s="30" t="n">
        <v>8.13272030651341</v>
      </c>
      <c r="AB72" s="30" t="n">
        <v>34.6689655172414</v>
      </c>
      <c r="AD72" s="31" t="n">
        <v>649.95775</v>
      </c>
      <c r="AE72" s="30" t="n">
        <f aca="false">AD72*1000/C72/D72*145.038/SQRT(145.038*L72)</f>
        <v>13.8657541671601</v>
      </c>
      <c r="AF72" s="32" t="n">
        <f aca="false">AD72*1000/C72/D72</f>
        <v>5.88197058823529</v>
      </c>
    </row>
    <row r="73" customFormat="false" ht="25.5" hidden="false" customHeight="true" outlineLevel="0" collapsed="false">
      <c r="A73" s="42"/>
      <c r="B73" s="25" t="s">
        <v>113</v>
      </c>
      <c r="C73" s="26" t="n">
        <v>130</v>
      </c>
      <c r="D73" s="26" t="n">
        <v>850</v>
      </c>
      <c r="E73" s="26" t="n">
        <v>920</v>
      </c>
      <c r="F73" s="20" t="n">
        <v>1.08235294117647</v>
      </c>
      <c r="G73" s="20" t="n">
        <v>1.08235294117647</v>
      </c>
      <c r="H73" s="26" t="n">
        <v>3</v>
      </c>
      <c r="I73" s="26" t="n">
        <v>1</v>
      </c>
      <c r="J73" s="26" t="n">
        <v>1</v>
      </c>
      <c r="K73" s="20" t="n">
        <v>0.498275119957085</v>
      </c>
      <c r="L73" s="20" t="n">
        <v>26.1</v>
      </c>
      <c r="M73" s="20" t="n">
        <v>0.88</v>
      </c>
      <c r="N73" s="20" t="n">
        <v>411</v>
      </c>
      <c r="O73" s="20" t="n">
        <v>0.628</v>
      </c>
      <c r="P73" s="20" t="n">
        <v>0.695630769230769</v>
      </c>
      <c r="Q73" s="20" t="n">
        <v>400</v>
      </c>
      <c r="R73" s="20" t="n">
        <v>0.347815384615385</v>
      </c>
      <c r="S73" s="20" t="n">
        <v>414</v>
      </c>
      <c r="U73" s="27"/>
      <c r="V73" s="28" t="n">
        <v>0.287769784172662</v>
      </c>
      <c r="W73" s="29" t="n">
        <f aca="false">D73/C73</f>
        <v>6.53846153846154</v>
      </c>
      <c r="X73" s="13"/>
      <c r="Y73" s="30" t="n">
        <v>5.51707161803714</v>
      </c>
      <c r="Z73" s="30" t="n">
        <v>10.6610079575597</v>
      </c>
      <c r="AA73" s="30" t="n">
        <v>8.13272030651341</v>
      </c>
      <c r="AB73" s="30" t="n">
        <v>13.8574712643678</v>
      </c>
      <c r="AD73" s="31" t="n">
        <v>702.64585</v>
      </c>
      <c r="AE73" s="30" t="n">
        <f aca="false">AD73*1000/C73/D73*145.038/SQRT(145.038*L73)</f>
        <v>14.9897660619867</v>
      </c>
      <c r="AF73" s="32" t="n">
        <f aca="false">AD73*1000/C73/D73</f>
        <v>6.35878597285068</v>
      </c>
    </row>
    <row r="74" customFormat="false" ht="25.5" hidden="false" customHeight="true" outlineLevel="0" collapsed="false">
      <c r="A74" s="42"/>
      <c r="B74" s="25" t="s">
        <v>114</v>
      </c>
      <c r="C74" s="26" t="n">
        <v>130</v>
      </c>
      <c r="D74" s="26" t="n">
        <v>850</v>
      </c>
      <c r="E74" s="26" t="n">
        <v>920</v>
      </c>
      <c r="F74" s="20" t="n">
        <v>1.08235294117647</v>
      </c>
      <c r="G74" s="20" t="n">
        <v>1.08235294117647</v>
      </c>
      <c r="H74" s="26" t="n">
        <v>3</v>
      </c>
      <c r="I74" s="26" t="n">
        <v>1</v>
      </c>
      <c r="J74" s="26" t="n">
        <v>1</v>
      </c>
      <c r="K74" s="20" t="n">
        <v>0.498275119957085</v>
      </c>
      <c r="L74" s="20" t="n">
        <v>26.1</v>
      </c>
      <c r="M74" s="20" t="n">
        <v>1.98</v>
      </c>
      <c r="N74" s="20" t="n">
        <v>457</v>
      </c>
      <c r="O74" s="20" t="n">
        <v>0.628</v>
      </c>
      <c r="P74" s="20" t="n">
        <v>0.695630769230769</v>
      </c>
      <c r="Q74" s="20" t="n">
        <v>400</v>
      </c>
      <c r="R74" s="20" t="n">
        <v>0.347815384615385</v>
      </c>
      <c r="S74" s="20" t="n">
        <v>414</v>
      </c>
      <c r="U74" s="27"/>
      <c r="V74" s="28" t="n">
        <v>0.287769784172662</v>
      </c>
      <c r="W74" s="29" t="n">
        <f aca="false">D74/C74</f>
        <v>6.53846153846154</v>
      </c>
      <c r="X74" s="13"/>
      <c r="Y74" s="30" t="n">
        <v>5.51707161803714</v>
      </c>
      <c r="Z74" s="30" t="n">
        <v>10.6610079575597</v>
      </c>
      <c r="AA74" s="30" t="n">
        <v>8.13272030651341</v>
      </c>
      <c r="AB74" s="30" t="n">
        <v>34.6689655172414</v>
      </c>
      <c r="AD74" s="31" t="n">
        <v>828.4724</v>
      </c>
      <c r="AE74" s="30" t="n">
        <f aca="false">AD74*1000/C74/D74*145.038/SQRT(145.038*L74)</f>
        <v>17.6740636336395</v>
      </c>
      <c r="AF74" s="32" t="n">
        <f aca="false">AD74*1000/C74/D74</f>
        <v>7.49748778280543</v>
      </c>
    </row>
    <row r="75" customFormat="false" ht="25.5" hidden="false" customHeight="true" outlineLevel="0" collapsed="false">
      <c r="A75" s="42"/>
      <c r="B75" s="25" t="s">
        <v>115</v>
      </c>
      <c r="C75" s="26" t="n">
        <v>130</v>
      </c>
      <c r="D75" s="26" t="n">
        <v>850</v>
      </c>
      <c r="E75" s="26" t="n">
        <v>1300</v>
      </c>
      <c r="F75" s="20" t="n">
        <v>1.52941176470588</v>
      </c>
      <c r="G75" s="20" t="n">
        <v>1.52941176470588</v>
      </c>
      <c r="H75" s="26" t="n">
        <v>3</v>
      </c>
      <c r="I75" s="26" t="n">
        <v>2</v>
      </c>
      <c r="J75" s="26" t="n">
        <v>1</v>
      </c>
      <c r="K75" s="20" t="n">
        <v>0.196242351454352</v>
      </c>
      <c r="L75" s="20" t="n">
        <v>28.2</v>
      </c>
      <c r="M75" s="20" t="n">
        <v>1.55</v>
      </c>
      <c r="N75" s="20" t="n">
        <v>584</v>
      </c>
      <c r="O75" s="20" t="n">
        <v>0.942</v>
      </c>
      <c r="P75" s="20" t="n">
        <v>0.618338461538462</v>
      </c>
      <c r="Q75" s="20" t="n">
        <v>383</v>
      </c>
      <c r="R75" s="20" t="n">
        <v>0.347815384615385</v>
      </c>
      <c r="S75" s="20" t="n">
        <v>414</v>
      </c>
      <c r="U75" s="27"/>
      <c r="V75" s="28" t="n">
        <v>0.287769784172662</v>
      </c>
      <c r="W75" s="29" t="n">
        <f aca="false">D75/C75</f>
        <v>6.53846153846154</v>
      </c>
      <c r="X75" s="13"/>
      <c r="Y75" s="30" t="n">
        <v>5.10622585924714</v>
      </c>
      <c r="Z75" s="30" t="n">
        <v>8.39800109110747</v>
      </c>
      <c r="AA75" s="30" t="n">
        <v>12.793829787234</v>
      </c>
      <c r="AB75" s="30" t="n">
        <v>32.0992907801419</v>
      </c>
      <c r="AD75" s="31" t="n">
        <v>361.29765</v>
      </c>
      <c r="AE75" s="30" t="n">
        <f aca="false">AD75*1000/C75/D75*145.038/SQRT(145.038*L75)</f>
        <v>7.4151374520067</v>
      </c>
      <c r="AF75" s="32" t="n">
        <f aca="false">AD75*1000/C75/D75</f>
        <v>3.26966199095023</v>
      </c>
    </row>
    <row r="76" customFormat="false" ht="25.5" hidden="false" customHeight="true" outlineLevel="0" collapsed="false">
      <c r="A76" s="42"/>
      <c r="B76" s="25" t="s">
        <v>116</v>
      </c>
      <c r="C76" s="26" t="n">
        <v>130</v>
      </c>
      <c r="D76" s="26" t="n">
        <v>850</v>
      </c>
      <c r="E76" s="26" t="n">
        <v>1300</v>
      </c>
      <c r="F76" s="20" t="n">
        <v>1.52941176470588</v>
      </c>
      <c r="G76" s="20" t="n">
        <v>1.52941176470588</v>
      </c>
      <c r="H76" s="26" t="n">
        <v>3</v>
      </c>
      <c r="I76" s="26" t="n">
        <v>2</v>
      </c>
      <c r="J76" s="26" t="n">
        <v>1</v>
      </c>
      <c r="K76" s="20" t="n">
        <v>0.196242351454352</v>
      </c>
      <c r="L76" s="20" t="n">
        <v>28.2</v>
      </c>
      <c r="M76" s="20" t="n">
        <v>2.42</v>
      </c>
      <c r="N76" s="20" t="n">
        <v>462</v>
      </c>
      <c r="O76" s="20" t="n">
        <v>0.942</v>
      </c>
      <c r="P76" s="20" t="n">
        <v>0.618338461538462</v>
      </c>
      <c r="Q76" s="20" t="n">
        <v>383</v>
      </c>
      <c r="R76" s="20" t="n">
        <v>0.347815384615385</v>
      </c>
      <c r="S76" s="20" t="n">
        <v>414</v>
      </c>
      <c r="U76" s="27"/>
      <c r="V76" s="28" t="n">
        <v>0.287769784172662</v>
      </c>
      <c r="W76" s="29" t="n">
        <f aca="false">D76/C76</f>
        <v>6.53846153846154</v>
      </c>
      <c r="X76" s="13"/>
      <c r="Y76" s="30" t="n">
        <v>5.10622585924714</v>
      </c>
      <c r="Z76" s="30" t="n">
        <v>8.39800109110747</v>
      </c>
      <c r="AA76" s="30" t="n">
        <v>12.793829787234</v>
      </c>
      <c r="AB76" s="30" t="n">
        <v>39.6468085106383</v>
      </c>
      <c r="AD76" s="31" t="n">
        <v>442.20645</v>
      </c>
      <c r="AE76" s="30" t="n">
        <f aca="false">AD76*1000/C76/D76*145.038/SQRT(145.038*L76)</f>
        <v>9.07567931569422</v>
      </c>
      <c r="AF76" s="32" t="n">
        <f aca="false">AD76*1000/C76/D76</f>
        <v>4.00186832579186</v>
      </c>
    </row>
    <row r="77" customFormat="false" ht="25.5" hidden="false" customHeight="true" outlineLevel="0" collapsed="false">
      <c r="A77" s="42"/>
      <c r="B77" s="25" t="s">
        <v>117</v>
      </c>
      <c r="C77" s="26" t="n">
        <v>130</v>
      </c>
      <c r="D77" s="26" t="n">
        <v>850</v>
      </c>
      <c r="E77" s="26" t="n">
        <v>1300</v>
      </c>
      <c r="F77" s="20" t="n">
        <v>1.52941176470588</v>
      </c>
      <c r="G77" s="20" t="n">
        <v>1.52941176470588</v>
      </c>
      <c r="H77" s="26" t="n">
        <v>3</v>
      </c>
      <c r="I77" s="26" t="n">
        <v>2</v>
      </c>
      <c r="J77" s="26" t="n">
        <v>1</v>
      </c>
      <c r="K77" s="20" t="n">
        <v>0.500417996208598</v>
      </c>
      <c r="L77" s="20" t="n">
        <v>28.2</v>
      </c>
      <c r="M77" s="20" t="n">
        <v>1.55</v>
      </c>
      <c r="N77" s="20" t="n">
        <v>584</v>
      </c>
      <c r="O77" s="20" t="n">
        <v>0.942</v>
      </c>
      <c r="P77" s="20" t="n">
        <v>0.618338461538462</v>
      </c>
      <c r="Q77" s="20" t="n">
        <v>383</v>
      </c>
      <c r="R77" s="20" t="n">
        <v>0.347815384615385</v>
      </c>
      <c r="S77" s="20" t="n">
        <v>414</v>
      </c>
      <c r="U77" s="27"/>
      <c r="V77" s="28" t="n">
        <v>0.287769784172662</v>
      </c>
      <c r="W77" s="29" t="n">
        <f aca="false">D77/C77</f>
        <v>6.53846153846154</v>
      </c>
      <c r="X77" s="13"/>
      <c r="Y77" s="30" t="n">
        <v>5.10622585924714</v>
      </c>
      <c r="Z77" s="30" t="n">
        <v>8.39800109110747</v>
      </c>
      <c r="AA77" s="30" t="n">
        <v>12.793829787234</v>
      </c>
      <c r="AB77" s="30" t="n">
        <v>32.0992907801419</v>
      </c>
      <c r="AD77" s="31" t="n">
        <v>535.5</v>
      </c>
      <c r="AE77" s="30" t="n">
        <f aca="false">AD77*1000/C77/D77*145.038/SQRT(145.038*L77)</f>
        <v>10.990401143073</v>
      </c>
      <c r="AF77" s="32" t="n">
        <f aca="false">AD77*1000/C77/D77</f>
        <v>4.84615384615385</v>
      </c>
    </row>
    <row r="78" customFormat="false" ht="25.5" hidden="false" customHeight="true" outlineLevel="0" collapsed="false">
      <c r="A78" s="42"/>
      <c r="B78" s="25" t="s">
        <v>118</v>
      </c>
      <c r="C78" s="26" t="n">
        <v>130</v>
      </c>
      <c r="D78" s="26" t="n">
        <v>850</v>
      </c>
      <c r="E78" s="26" t="n">
        <v>1300</v>
      </c>
      <c r="F78" s="20" t="n">
        <v>1.52941176470588</v>
      </c>
      <c r="G78" s="20" t="n">
        <v>1.52941176470588</v>
      </c>
      <c r="H78" s="26" t="n">
        <v>3</v>
      </c>
      <c r="I78" s="26" t="n">
        <v>2</v>
      </c>
      <c r="J78" s="26" t="n">
        <v>1</v>
      </c>
      <c r="K78" s="20" t="n">
        <v>0.500417996208598</v>
      </c>
      <c r="L78" s="20" t="n">
        <v>28.2</v>
      </c>
      <c r="M78" s="20" t="n">
        <v>2.42</v>
      </c>
      <c r="N78" s="20" t="n">
        <v>462</v>
      </c>
      <c r="O78" s="20" t="n">
        <v>0.942</v>
      </c>
      <c r="P78" s="20" t="n">
        <v>0.618338461538462</v>
      </c>
      <c r="Q78" s="20" t="n">
        <v>383</v>
      </c>
      <c r="R78" s="20" t="n">
        <v>0.347815384615385</v>
      </c>
      <c r="S78" s="20" t="n">
        <v>414</v>
      </c>
      <c r="U78" s="27"/>
      <c r="V78" s="28" t="n">
        <v>0.287769784172662</v>
      </c>
      <c r="W78" s="29" t="n">
        <f aca="false">D78/C78</f>
        <v>6.53846153846154</v>
      </c>
      <c r="X78" s="13"/>
      <c r="Y78" s="30" t="n">
        <v>5.10622585924714</v>
      </c>
      <c r="Z78" s="30" t="n">
        <v>8.39800109110747</v>
      </c>
      <c r="AA78" s="30" t="n">
        <v>12.793829787234</v>
      </c>
      <c r="AB78" s="30" t="n">
        <v>39.6468085106383</v>
      </c>
      <c r="AD78" s="31" t="n">
        <v>603.25</v>
      </c>
      <c r="AE78" s="30" t="n">
        <f aca="false">AD78*1000/C78/D78*145.038/SQRT(145.038*L78)</f>
        <v>12.3808767312022</v>
      </c>
      <c r="AF78" s="32" t="n">
        <f aca="false">AD78*1000/C78/D78</f>
        <v>5.45927601809955</v>
      </c>
    </row>
    <row r="79" customFormat="false" ht="25.5" hidden="false" customHeight="true" outlineLevel="0" collapsed="false">
      <c r="A79" s="42"/>
      <c r="B79" s="25" t="s">
        <v>119</v>
      </c>
      <c r="C79" s="26" t="n">
        <v>130</v>
      </c>
      <c r="D79" s="26" t="n">
        <v>850</v>
      </c>
      <c r="E79" s="26" t="n">
        <v>1700</v>
      </c>
      <c r="F79" s="20" t="n">
        <v>2</v>
      </c>
      <c r="G79" s="20" t="n">
        <v>2</v>
      </c>
      <c r="H79" s="26" t="n">
        <v>3</v>
      </c>
      <c r="I79" s="26" t="n">
        <v>2</v>
      </c>
      <c r="J79" s="26" t="n">
        <v>1</v>
      </c>
      <c r="K79" s="20" t="n">
        <v>0.500417996208598</v>
      </c>
      <c r="L79" s="20" t="n">
        <v>28.2</v>
      </c>
      <c r="M79" s="20" t="n">
        <v>1.55</v>
      </c>
      <c r="N79" s="20" t="n">
        <v>584</v>
      </c>
      <c r="O79" s="20" t="n">
        <v>0.942</v>
      </c>
      <c r="P79" s="20" t="n">
        <v>0.618338461538462</v>
      </c>
      <c r="Q79" s="20" t="n">
        <v>383</v>
      </c>
      <c r="R79" s="20" t="n">
        <v>0.347815384615385</v>
      </c>
      <c r="S79" s="20" t="n">
        <v>414</v>
      </c>
      <c r="U79" s="27"/>
      <c r="V79" s="28" t="n">
        <v>0.287769784172662</v>
      </c>
      <c r="W79" s="29" t="n">
        <f aca="false">D79/C79</f>
        <v>6.53846153846154</v>
      </c>
      <c r="X79" s="13"/>
      <c r="Y79" s="30" t="n">
        <v>5.10622585924714</v>
      </c>
      <c r="Z79" s="30" t="n">
        <v>8.39800109110747</v>
      </c>
      <c r="AA79" s="30" t="n">
        <v>12.793829787234</v>
      </c>
      <c r="AB79" s="30" t="n">
        <v>32.0992907801419</v>
      </c>
      <c r="AD79" s="31" t="n">
        <v>445.6</v>
      </c>
      <c r="AE79" s="30" t="n">
        <f aca="false">AD79*1000/C79/D79*145.038/SQRT(145.038*L79)</f>
        <v>9.14532726303143</v>
      </c>
      <c r="AF79" s="32" t="n">
        <f aca="false">AD79*1000/C79/D79</f>
        <v>4.03257918552036</v>
      </c>
    </row>
    <row r="80" customFormat="false" ht="25.5" hidden="false" customHeight="true" outlineLevel="0" collapsed="false">
      <c r="A80" s="42"/>
      <c r="B80" s="25" t="s">
        <v>120</v>
      </c>
      <c r="C80" s="26" t="n">
        <v>130</v>
      </c>
      <c r="D80" s="26" t="n">
        <v>850</v>
      </c>
      <c r="E80" s="26" t="n">
        <v>1700</v>
      </c>
      <c r="F80" s="20" t="n">
        <v>2</v>
      </c>
      <c r="G80" s="20" t="n">
        <v>2</v>
      </c>
      <c r="H80" s="26" t="n">
        <v>3</v>
      </c>
      <c r="I80" s="26" t="n">
        <v>2</v>
      </c>
      <c r="J80" s="26" t="n">
        <v>1</v>
      </c>
      <c r="K80" s="20" t="n">
        <v>0.500417996208598</v>
      </c>
      <c r="L80" s="20" t="n">
        <v>28.2</v>
      </c>
      <c r="M80" s="20" t="n">
        <v>2.42</v>
      </c>
      <c r="N80" s="20" t="n">
        <v>462</v>
      </c>
      <c r="O80" s="20" t="n">
        <v>0.942</v>
      </c>
      <c r="P80" s="20" t="n">
        <v>0.618338461538462</v>
      </c>
      <c r="Q80" s="20" t="n">
        <v>383</v>
      </c>
      <c r="R80" s="20" t="n">
        <v>0.347815384615385</v>
      </c>
      <c r="S80" s="20" t="n">
        <v>414</v>
      </c>
      <c r="U80" s="27"/>
      <c r="V80" s="28" t="n">
        <v>0.287769784172662</v>
      </c>
      <c r="W80" s="29" t="n">
        <f aca="false">D80/C80</f>
        <v>6.53846153846154</v>
      </c>
      <c r="X80" s="13"/>
      <c r="Y80" s="30" t="n">
        <v>5.10622585924714</v>
      </c>
      <c r="Z80" s="30" t="n">
        <v>8.39800109110747</v>
      </c>
      <c r="AA80" s="30" t="n">
        <v>12.793829787234</v>
      </c>
      <c r="AB80" s="30" t="n">
        <v>39.6468085106383</v>
      </c>
      <c r="AD80" s="31" t="n">
        <v>517.85</v>
      </c>
      <c r="AE80" s="30" t="n">
        <f aca="false">AD80*1000/C80/D80*145.038/SQRT(145.038*L80)</f>
        <v>10.6281591632873</v>
      </c>
      <c r="AF80" s="32" t="n">
        <f aca="false">AD80*1000/C80/D80</f>
        <v>4.68642533936652</v>
      </c>
    </row>
    <row r="81" customFormat="false" ht="25.5" hidden="false" customHeight="true" outlineLevel="0" collapsed="false">
      <c r="A81" s="33" t="s">
        <v>121</v>
      </c>
      <c r="B81" s="34" t="s">
        <v>122</v>
      </c>
      <c r="C81" s="26" t="n">
        <v>120</v>
      </c>
      <c r="D81" s="26" t="n">
        <v>1000</v>
      </c>
      <c r="E81" s="26" t="n">
        <v>2000</v>
      </c>
      <c r="F81" s="20" t="n">
        <v>1</v>
      </c>
      <c r="G81" s="20" t="n">
        <v>2</v>
      </c>
      <c r="H81" s="26" t="n">
        <v>1</v>
      </c>
      <c r="I81" s="26" t="n">
        <v>1</v>
      </c>
      <c r="J81" s="26" t="n">
        <v>2</v>
      </c>
      <c r="K81" s="20" t="n">
        <v>0</v>
      </c>
      <c r="L81" s="20" t="n">
        <v>19.4</v>
      </c>
      <c r="M81" s="20" t="n">
        <v>9.77854671280277</v>
      </c>
      <c r="N81" s="20" t="n">
        <v>392</v>
      </c>
      <c r="O81" s="20" t="n">
        <v>0</v>
      </c>
      <c r="P81" s="20" t="n">
        <v>0.131</v>
      </c>
      <c r="Q81" s="20" t="n">
        <v>392</v>
      </c>
      <c r="R81" s="20" t="n">
        <v>0.251</v>
      </c>
      <c r="S81" s="20" t="n">
        <v>392</v>
      </c>
      <c r="U81" s="35"/>
      <c r="V81" s="28" t="n">
        <v>0.0894367650092841</v>
      </c>
      <c r="W81" s="29" t="n">
        <f aca="false">D81/C81</f>
        <v>8.33333333333333</v>
      </c>
      <c r="X81" s="35"/>
      <c r="Y81" s="30" t="n">
        <v>5.07175257731959</v>
      </c>
      <c r="Z81" s="30" t="n">
        <v>2.64701030927835</v>
      </c>
      <c r="AA81" s="30" t="n">
        <v>0</v>
      </c>
      <c r="AB81" s="30" t="n">
        <v>197.587129454571</v>
      </c>
      <c r="AD81" s="28" t="n">
        <v>196.4579</v>
      </c>
      <c r="AE81" s="30" t="n">
        <f aca="false">AD81*1000/C81/D81*145.038/SQRT(145.038*L81)</f>
        <v>4.47639382140107</v>
      </c>
      <c r="AF81" s="32" t="n">
        <f aca="false">AD81*1000/C81/D81</f>
        <v>1.63714916666667</v>
      </c>
    </row>
    <row r="82" customFormat="false" ht="25.5" hidden="false" customHeight="true" outlineLevel="0" collapsed="false">
      <c r="A82" s="33"/>
      <c r="B82" s="34" t="s">
        <v>123</v>
      </c>
      <c r="C82" s="26" t="n">
        <v>120</v>
      </c>
      <c r="D82" s="26" t="n">
        <v>1000</v>
      </c>
      <c r="E82" s="26" t="n">
        <v>2000</v>
      </c>
      <c r="F82" s="20" t="n">
        <v>1</v>
      </c>
      <c r="G82" s="20" t="n">
        <v>2</v>
      </c>
      <c r="H82" s="26" t="n">
        <v>1</v>
      </c>
      <c r="I82" s="26" t="n">
        <v>1</v>
      </c>
      <c r="J82" s="26" t="n">
        <v>2</v>
      </c>
      <c r="K82" s="20" t="n">
        <v>0</v>
      </c>
      <c r="L82" s="20" t="n">
        <v>19.6</v>
      </c>
      <c r="M82" s="20" t="n">
        <v>9.77854671280277</v>
      </c>
      <c r="N82" s="20" t="n">
        <v>402</v>
      </c>
      <c r="O82" s="20" t="n">
        <v>0</v>
      </c>
      <c r="P82" s="20" t="n">
        <v>0.245</v>
      </c>
      <c r="Q82" s="20" t="n">
        <v>402</v>
      </c>
      <c r="R82" s="20" t="n">
        <v>0.251</v>
      </c>
      <c r="S82" s="20" t="n">
        <v>402</v>
      </c>
      <c r="U82" s="35"/>
      <c r="V82" s="28" t="n">
        <v>0.0894367650092841</v>
      </c>
      <c r="W82" s="29" t="n">
        <f aca="false">D82/C82</f>
        <v>8.33333333333333</v>
      </c>
      <c r="X82" s="35"/>
      <c r="Y82" s="30" t="n">
        <v>5.1480612244898</v>
      </c>
      <c r="Z82" s="30" t="n">
        <v>5.025</v>
      </c>
      <c r="AA82" s="30" t="n">
        <v>0</v>
      </c>
      <c r="AB82" s="30" t="n">
        <v>200.559988701363</v>
      </c>
      <c r="AD82" s="28" t="n">
        <v>268.3099</v>
      </c>
      <c r="AE82" s="30" t="n">
        <f aca="false">AD82*1000/C82/D82*145.038/SQRT(145.038*L82)</f>
        <v>6.08230671761139</v>
      </c>
      <c r="AF82" s="32" t="n">
        <f aca="false">AD82*1000/C82/D82</f>
        <v>2.23591583333333</v>
      </c>
    </row>
    <row r="83" customFormat="false" ht="25.5" hidden="false" customHeight="true" outlineLevel="0" collapsed="false">
      <c r="A83" s="33"/>
      <c r="B83" s="34" t="s">
        <v>124</v>
      </c>
      <c r="C83" s="26" t="n">
        <v>120</v>
      </c>
      <c r="D83" s="26" t="n">
        <v>1000</v>
      </c>
      <c r="E83" s="26" t="n">
        <v>2000</v>
      </c>
      <c r="F83" s="20" t="n">
        <v>1</v>
      </c>
      <c r="G83" s="20" t="n">
        <v>2</v>
      </c>
      <c r="H83" s="26" t="n">
        <v>1</v>
      </c>
      <c r="I83" s="26" t="n">
        <v>1</v>
      </c>
      <c r="J83" s="26" t="n">
        <v>2</v>
      </c>
      <c r="K83" s="20" t="n">
        <v>0</v>
      </c>
      <c r="L83" s="20" t="n">
        <v>19.5</v>
      </c>
      <c r="M83" s="20" t="n">
        <v>12.0722798923491</v>
      </c>
      <c r="N83" s="20" t="n">
        <v>402</v>
      </c>
      <c r="O83" s="20" t="n">
        <v>0</v>
      </c>
      <c r="P83" s="20" t="n">
        <v>0.381</v>
      </c>
      <c r="Q83" s="20" t="n">
        <v>402</v>
      </c>
      <c r="R83" s="20" t="n">
        <v>0.251</v>
      </c>
      <c r="S83" s="20" t="n">
        <v>402</v>
      </c>
      <c r="U83" s="35"/>
      <c r="V83" s="28" t="n">
        <v>0.0894367650092841</v>
      </c>
      <c r="W83" s="29" t="n">
        <f aca="false">D83/C83</f>
        <v>8.33333333333333</v>
      </c>
      <c r="X83" s="35"/>
      <c r="Y83" s="30" t="n">
        <v>5.17446153846154</v>
      </c>
      <c r="Z83" s="30" t="n">
        <v>7.85446153846154</v>
      </c>
      <c r="AA83" s="30" t="n">
        <v>0</v>
      </c>
      <c r="AB83" s="30" t="n">
        <v>248.874693165351</v>
      </c>
      <c r="AD83" s="28" t="n">
        <v>321.4337</v>
      </c>
      <c r="AE83" s="30" t="n">
        <f aca="false">AD83*1000/C83/D83*145.038/SQRT(145.038*L83)</f>
        <v>7.30522769548863</v>
      </c>
      <c r="AF83" s="32" t="n">
        <f aca="false">AD83*1000/C83/D83</f>
        <v>2.67861416666667</v>
      </c>
    </row>
    <row r="84" customFormat="false" ht="25.5" hidden="false" customHeight="true" outlineLevel="0" collapsed="false">
      <c r="A84" s="33"/>
      <c r="B84" s="34" t="s">
        <v>125</v>
      </c>
      <c r="C84" s="26" t="n">
        <v>120</v>
      </c>
      <c r="D84" s="26" t="n">
        <v>1300</v>
      </c>
      <c r="E84" s="26" t="n">
        <v>1800</v>
      </c>
      <c r="F84" s="20" t="n">
        <v>0.69</v>
      </c>
      <c r="G84" s="20" t="n">
        <v>1.38461538461539</v>
      </c>
      <c r="H84" s="26" t="n">
        <v>1</v>
      </c>
      <c r="I84" s="26" t="n">
        <v>1</v>
      </c>
      <c r="J84" s="26" t="n">
        <v>2</v>
      </c>
      <c r="K84" s="20" t="n">
        <v>0</v>
      </c>
      <c r="L84" s="20" t="n">
        <v>17.6</v>
      </c>
      <c r="M84" s="20" t="n">
        <v>9.77854671280277</v>
      </c>
      <c r="N84" s="20" t="n">
        <v>314</v>
      </c>
      <c r="O84" s="20" t="n">
        <v>0</v>
      </c>
      <c r="P84" s="20" t="n">
        <v>0.131</v>
      </c>
      <c r="Q84" s="20" t="n">
        <v>314</v>
      </c>
      <c r="R84" s="20" t="n">
        <v>0.259</v>
      </c>
      <c r="S84" s="20" t="n">
        <v>314</v>
      </c>
      <c r="U84" s="35"/>
      <c r="V84" s="28" t="n">
        <v>0.068299984244525</v>
      </c>
      <c r="W84" s="29" t="n">
        <f aca="false">D84/C84</f>
        <v>10.8333333333333</v>
      </c>
      <c r="X84" s="35"/>
      <c r="Y84" s="30" t="n">
        <v>4.62079545454546</v>
      </c>
      <c r="Z84" s="30" t="n">
        <v>2.33715909090909</v>
      </c>
      <c r="AA84" s="30" t="n">
        <v>0</v>
      </c>
      <c r="AB84" s="30" t="n">
        <v>174.458162944322</v>
      </c>
      <c r="AD84" s="28" t="n">
        <v>309.46825</v>
      </c>
      <c r="AE84" s="30" t="n">
        <f aca="false">AD84*1000/C84/D84*145.038/SQRT(145.038*L84)</f>
        <v>5.69476841983167</v>
      </c>
      <c r="AF84" s="32" t="n">
        <f aca="false">AD84*1000/C84/D84</f>
        <v>1.98377083333333</v>
      </c>
    </row>
    <row r="85" customFormat="false" ht="25.5" hidden="false" customHeight="true" outlineLevel="0" collapsed="false">
      <c r="A85" s="33"/>
      <c r="B85" s="34" t="s">
        <v>126</v>
      </c>
      <c r="C85" s="26" t="n">
        <v>120</v>
      </c>
      <c r="D85" s="26" t="n">
        <v>1300</v>
      </c>
      <c r="E85" s="26" t="n">
        <v>1800</v>
      </c>
      <c r="F85" s="20" t="n">
        <v>0.69</v>
      </c>
      <c r="G85" s="20" t="n">
        <v>1.38461538461539</v>
      </c>
      <c r="H85" s="26" t="n">
        <v>1</v>
      </c>
      <c r="I85" s="26" t="n">
        <v>1</v>
      </c>
      <c r="J85" s="26" t="n">
        <v>2</v>
      </c>
      <c r="K85" s="20" t="n">
        <v>0</v>
      </c>
      <c r="L85" s="20" t="n">
        <v>18.1</v>
      </c>
      <c r="M85" s="20" t="n">
        <v>9.77854671280277</v>
      </c>
      <c r="N85" s="20" t="n">
        <v>471</v>
      </c>
      <c r="O85" s="20" t="n">
        <v>0</v>
      </c>
      <c r="P85" s="20" t="n">
        <v>0.246</v>
      </c>
      <c r="Q85" s="20" t="n">
        <v>471</v>
      </c>
      <c r="R85" s="20" t="n">
        <v>0.125</v>
      </c>
      <c r="S85" s="20" t="n">
        <v>471</v>
      </c>
      <c r="U85" s="35"/>
      <c r="V85" s="28" t="n">
        <v>0.068299984244525</v>
      </c>
      <c r="W85" s="29" t="n">
        <f aca="false">D85/C85</f>
        <v>10.8333333333333</v>
      </c>
      <c r="X85" s="35"/>
      <c r="Y85" s="30" t="n">
        <v>3.25276243093923</v>
      </c>
      <c r="Z85" s="30" t="n">
        <v>6.4014364640884</v>
      </c>
      <c r="AA85" s="30" t="n">
        <v>0</v>
      </c>
      <c r="AB85" s="30" t="n">
        <v>254.458315012713</v>
      </c>
      <c r="AD85" s="28" t="n">
        <v>359.6376</v>
      </c>
      <c r="AE85" s="30" t="n">
        <f aca="false">AD85*1000/C85/D85*145.038/SQRT(145.038*L85)</f>
        <v>6.52592541949537</v>
      </c>
      <c r="AF85" s="32" t="n">
        <f aca="false">AD85*1000/C85/D85</f>
        <v>2.30536923076923</v>
      </c>
    </row>
    <row r="86" customFormat="false" ht="25.5" hidden="false" customHeight="true" outlineLevel="0" collapsed="false">
      <c r="A86" s="33"/>
      <c r="B86" s="34" t="s">
        <v>127</v>
      </c>
      <c r="C86" s="26" t="n">
        <v>120</v>
      </c>
      <c r="D86" s="26" t="n">
        <v>1300</v>
      </c>
      <c r="E86" s="26" t="n">
        <v>1800</v>
      </c>
      <c r="F86" s="20" t="n">
        <v>0.69</v>
      </c>
      <c r="G86" s="20" t="n">
        <v>1.38461538461539</v>
      </c>
      <c r="H86" s="26" t="n">
        <v>1</v>
      </c>
      <c r="I86" s="26" t="n">
        <v>1</v>
      </c>
      <c r="J86" s="26" t="n">
        <v>2</v>
      </c>
      <c r="K86" s="20" t="n">
        <v>0</v>
      </c>
      <c r="L86" s="20" t="n">
        <v>15.7</v>
      </c>
      <c r="M86" s="20" t="n">
        <v>9.77854671280277</v>
      </c>
      <c r="N86" s="20" t="n">
        <v>471</v>
      </c>
      <c r="O86" s="20" t="n">
        <v>0</v>
      </c>
      <c r="P86" s="20" t="n">
        <v>0.246</v>
      </c>
      <c r="Q86" s="20" t="n">
        <v>471</v>
      </c>
      <c r="R86" s="20" t="n">
        <v>0.259</v>
      </c>
      <c r="S86" s="20" t="n">
        <v>471</v>
      </c>
      <c r="U86" s="35"/>
      <c r="V86" s="28" t="n">
        <v>0.068299984244525</v>
      </c>
      <c r="W86" s="29" t="n">
        <f aca="false">D86/C86</f>
        <v>10.8333333333333</v>
      </c>
      <c r="X86" s="35"/>
      <c r="Y86" s="30" t="n">
        <v>7.77</v>
      </c>
      <c r="Z86" s="30" t="n">
        <v>7.38</v>
      </c>
      <c r="AA86" s="30" t="n">
        <v>0</v>
      </c>
      <c r="AB86" s="30" t="n">
        <v>293.356401384083</v>
      </c>
      <c r="AD86" s="28" t="n">
        <v>371.6513</v>
      </c>
      <c r="AE86" s="30" t="n">
        <f aca="false">AD86*1000/C86/D86*145.038/SQRT(145.038*L86)</f>
        <v>7.24105978029578</v>
      </c>
      <c r="AF86" s="32" t="n">
        <f aca="false">AD86*1000/C86/D86</f>
        <v>2.38238012820513</v>
      </c>
    </row>
    <row r="87" customFormat="false" ht="25.5" hidden="false" customHeight="true" outlineLevel="0" collapsed="false">
      <c r="A87" s="33"/>
      <c r="B87" s="34" t="s">
        <v>128</v>
      </c>
      <c r="C87" s="26" t="n">
        <v>100</v>
      </c>
      <c r="D87" s="26" t="n">
        <v>1300</v>
      </c>
      <c r="E87" s="26" t="n">
        <v>1800</v>
      </c>
      <c r="F87" s="20" t="n">
        <v>0.69</v>
      </c>
      <c r="G87" s="20" t="n">
        <v>1.38461538461539</v>
      </c>
      <c r="H87" s="26" t="n">
        <v>1</v>
      </c>
      <c r="I87" s="26" t="n">
        <v>1</v>
      </c>
      <c r="J87" s="26" t="n">
        <v>2</v>
      </c>
      <c r="K87" s="20" t="n">
        <v>0</v>
      </c>
      <c r="L87" s="20" t="n">
        <v>17.6</v>
      </c>
      <c r="M87" s="20" t="n">
        <v>9.77854671280277</v>
      </c>
      <c r="N87" s="20" t="n">
        <v>366</v>
      </c>
      <c r="O87" s="20" t="n">
        <v>0</v>
      </c>
      <c r="P87" s="20" t="n">
        <v>0.255</v>
      </c>
      <c r="Q87" s="20" t="n">
        <v>366</v>
      </c>
      <c r="R87" s="20" t="n">
        <v>0.255</v>
      </c>
      <c r="S87" s="20" t="n">
        <v>366</v>
      </c>
      <c r="U87" s="35"/>
      <c r="V87" s="28" t="n">
        <v>0.0797803815716827</v>
      </c>
      <c r="W87" s="29" t="n">
        <f aca="false">D87/C87</f>
        <v>13</v>
      </c>
      <c r="X87" s="35"/>
      <c r="Y87" s="30" t="n">
        <v>5.30284090909091</v>
      </c>
      <c r="Z87" s="30" t="n">
        <v>5.30284090909091</v>
      </c>
      <c r="AA87" s="30" t="n">
        <v>0</v>
      </c>
      <c r="AB87" s="30" t="n">
        <v>203.349323686694</v>
      </c>
      <c r="AD87" s="28" t="n">
        <v>271.00515</v>
      </c>
      <c r="AE87" s="30" t="n">
        <f aca="false">AD87*1000/C87/D87*145.038/SQRT(145.038*L87)</f>
        <v>5.98437443517419</v>
      </c>
      <c r="AF87" s="32" t="n">
        <f aca="false">AD87*1000/C87/D87</f>
        <v>2.084655</v>
      </c>
    </row>
    <row r="88" customFormat="false" ht="25.5" hidden="false" customHeight="true" outlineLevel="0" collapsed="false">
      <c r="A88" s="33"/>
      <c r="B88" s="34" t="s">
        <v>129</v>
      </c>
      <c r="C88" s="26" t="n">
        <v>80</v>
      </c>
      <c r="D88" s="26" t="n">
        <v>1300</v>
      </c>
      <c r="E88" s="26" t="n">
        <v>1800</v>
      </c>
      <c r="F88" s="20" t="n">
        <v>0.69</v>
      </c>
      <c r="G88" s="20" t="n">
        <v>1.38461538461539</v>
      </c>
      <c r="H88" s="26" t="n">
        <v>1</v>
      </c>
      <c r="I88" s="26" t="n">
        <v>1</v>
      </c>
      <c r="J88" s="26" t="n">
        <v>2</v>
      </c>
      <c r="K88" s="20" t="n">
        <v>0</v>
      </c>
      <c r="L88" s="20" t="n">
        <v>16.4</v>
      </c>
      <c r="M88" s="20" t="n">
        <v>7.72625913110342</v>
      </c>
      <c r="N88" s="20" t="n">
        <v>367</v>
      </c>
      <c r="O88" s="20" t="n">
        <v>0</v>
      </c>
      <c r="P88" s="20" t="n">
        <v>0.25</v>
      </c>
      <c r="Q88" s="20" t="n">
        <v>367</v>
      </c>
      <c r="R88" s="20" t="n">
        <v>0.25</v>
      </c>
      <c r="S88" s="20" t="n">
        <v>367</v>
      </c>
      <c r="U88" s="35"/>
      <c r="V88" s="28" t="n">
        <v>0.0959000073740875</v>
      </c>
      <c r="W88" s="29" t="n">
        <f aca="false">D88/C88</f>
        <v>16.25</v>
      </c>
      <c r="X88" s="35"/>
      <c r="Y88" s="30" t="n">
        <v>5.59451219512195</v>
      </c>
      <c r="Z88" s="30" t="n">
        <v>5.59451219512195</v>
      </c>
      <c r="AA88" s="30" t="n">
        <v>0</v>
      </c>
      <c r="AB88" s="30" t="n">
        <v>172.898603726522</v>
      </c>
      <c r="AD88" s="28" t="n">
        <v>199</v>
      </c>
      <c r="AE88" s="30" t="n">
        <f aca="false">AD88*1000/C88/D88*145.038/SQRT(145.038*L88)</f>
        <v>5.69034652333386</v>
      </c>
      <c r="AF88" s="32" t="n">
        <f aca="false">AD88*1000/C88/D88</f>
        <v>1.91346153846154</v>
      </c>
    </row>
    <row r="89" customFormat="false" ht="25.5" hidden="false" customHeight="true" outlineLevel="0" collapsed="false">
      <c r="A89" s="33"/>
      <c r="B89" s="34" t="s">
        <v>130</v>
      </c>
      <c r="C89" s="26" t="n">
        <v>100</v>
      </c>
      <c r="D89" s="26" t="n">
        <v>1400</v>
      </c>
      <c r="E89" s="26" t="n">
        <v>1400</v>
      </c>
      <c r="F89" s="20" t="n">
        <v>0.5</v>
      </c>
      <c r="G89" s="20" t="n">
        <v>1</v>
      </c>
      <c r="H89" s="26" t="n">
        <v>1</v>
      </c>
      <c r="I89" s="26" t="n">
        <v>1</v>
      </c>
      <c r="J89" s="26" t="n">
        <v>2</v>
      </c>
      <c r="K89" s="20" t="n">
        <v>0</v>
      </c>
      <c r="L89" s="20" t="n">
        <v>16.3</v>
      </c>
      <c r="M89" s="20" t="n">
        <v>7.72625913110342</v>
      </c>
      <c r="N89" s="20" t="n">
        <v>362</v>
      </c>
      <c r="O89" s="20" t="n">
        <v>0</v>
      </c>
      <c r="P89" s="20" t="n">
        <v>0.127</v>
      </c>
      <c r="Q89" s="20" t="n">
        <v>362</v>
      </c>
      <c r="R89" s="20" t="n">
        <v>0.255</v>
      </c>
      <c r="S89" s="20" t="n">
        <v>362</v>
      </c>
      <c r="U89" s="35"/>
      <c r="V89" s="28" t="n">
        <v>0.0740983419748163</v>
      </c>
      <c r="W89" s="29" t="n">
        <f aca="false">D89/C89</f>
        <v>14</v>
      </c>
      <c r="X89" s="35"/>
      <c r="Y89" s="30" t="n">
        <v>5.66319018404908</v>
      </c>
      <c r="Z89" s="30" t="n">
        <v>2.82049079754601</v>
      </c>
      <c r="AA89" s="30" t="n">
        <v>0</v>
      </c>
      <c r="AB89" s="30" t="n">
        <v>171.589313218371</v>
      </c>
      <c r="AD89" s="28" t="n">
        <v>249.3656775425</v>
      </c>
      <c r="AE89" s="30" t="n">
        <f aca="false">AD89*1000/C89/D89*145.038/SQRT(145.038*L89)</f>
        <v>5.31319482171142</v>
      </c>
      <c r="AF89" s="32" t="n">
        <f aca="false">AD89*1000/C89/D89</f>
        <v>1.78118341101786</v>
      </c>
    </row>
    <row r="90" customFormat="false" ht="25.5" hidden="false" customHeight="true" outlineLevel="0" collapsed="false">
      <c r="A90" s="33"/>
      <c r="B90" s="34" t="s">
        <v>131</v>
      </c>
      <c r="C90" s="26" t="n">
        <v>100</v>
      </c>
      <c r="D90" s="26" t="n">
        <v>1400</v>
      </c>
      <c r="E90" s="26" t="n">
        <v>1400</v>
      </c>
      <c r="F90" s="20" t="n">
        <v>0.5</v>
      </c>
      <c r="G90" s="20" t="n">
        <v>1</v>
      </c>
      <c r="H90" s="26" t="n">
        <v>1</v>
      </c>
      <c r="I90" s="26" t="n">
        <v>1</v>
      </c>
      <c r="J90" s="26" t="n">
        <v>2</v>
      </c>
      <c r="K90" s="20" t="n">
        <v>0</v>
      </c>
      <c r="L90" s="20" t="n">
        <v>17</v>
      </c>
      <c r="M90" s="20" t="n">
        <v>7.72625913110342</v>
      </c>
      <c r="N90" s="20" t="n">
        <v>366</v>
      </c>
      <c r="O90" s="20" t="n">
        <v>0</v>
      </c>
      <c r="P90" s="20" t="n">
        <v>0.255</v>
      </c>
      <c r="Q90" s="20" t="n">
        <v>366</v>
      </c>
      <c r="R90" s="20" t="n">
        <v>0.127</v>
      </c>
      <c r="S90" s="20" t="n">
        <v>366</v>
      </c>
      <c r="U90" s="35"/>
      <c r="V90" s="28" t="n">
        <v>0.0740983419748163</v>
      </c>
      <c r="W90" s="29" t="n">
        <f aca="false">D90/C90</f>
        <v>14</v>
      </c>
      <c r="X90" s="35"/>
      <c r="Y90" s="30" t="n">
        <v>2.73423529411765</v>
      </c>
      <c r="Z90" s="30" t="n">
        <v>5.49</v>
      </c>
      <c r="AA90" s="30" t="n">
        <v>0</v>
      </c>
      <c r="AB90" s="30" t="n">
        <v>166.341814234344</v>
      </c>
      <c r="AD90" s="28" t="n">
        <v>319.5420178425</v>
      </c>
      <c r="AE90" s="30" t="n">
        <f aca="false">AD90*1000/C90/D90*145.038/SQRT(145.038*L90)</f>
        <v>6.66678390381477</v>
      </c>
      <c r="AF90" s="32" t="n">
        <f aca="false">AD90*1000/C90/D90</f>
        <v>2.28244298458929</v>
      </c>
    </row>
    <row r="91" customFormat="false" ht="25.5" hidden="false" customHeight="true" outlineLevel="0" collapsed="false">
      <c r="A91" s="33"/>
      <c r="B91" s="34" t="s">
        <v>132</v>
      </c>
      <c r="C91" s="26" t="n">
        <v>100</v>
      </c>
      <c r="D91" s="26" t="n">
        <v>1400</v>
      </c>
      <c r="E91" s="26" t="n">
        <v>1400</v>
      </c>
      <c r="F91" s="20" t="n">
        <v>0.5</v>
      </c>
      <c r="G91" s="20" t="n">
        <v>1</v>
      </c>
      <c r="H91" s="26" t="n">
        <v>1</v>
      </c>
      <c r="I91" s="26" t="n">
        <v>1</v>
      </c>
      <c r="J91" s="26" t="n">
        <v>2</v>
      </c>
      <c r="K91" s="20" t="n">
        <v>0</v>
      </c>
      <c r="L91" s="20" t="n">
        <v>18.1</v>
      </c>
      <c r="M91" s="20" t="n">
        <v>7.72625913110342</v>
      </c>
      <c r="N91" s="20" t="n">
        <v>370</v>
      </c>
      <c r="O91" s="20" t="n">
        <v>0</v>
      </c>
      <c r="P91" s="20" t="n">
        <v>0.255</v>
      </c>
      <c r="Q91" s="20" t="n">
        <v>370</v>
      </c>
      <c r="R91" s="20" t="n">
        <v>0.255</v>
      </c>
      <c r="S91" s="20" t="n">
        <v>370</v>
      </c>
      <c r="U91" s="35"/>
      <c r="V91" s="28" t="n">
        <v>0.0740983419748163</v>
      </c>
      <c r="W91" s="29" t="n">
        <f aca="false">D91/C91</f>
        <v>14</v>
      </c>
      <c r="X91" s="35"/>
      <c r="Y91" s="30" t="n">
        <v>5.21270718232044</v>
      </c>
      <c r="Z91" s="30" t="n">
        <v>5.21270718232044</v>
      </c>
      <c r="AA91" s="30" t="n">
        <v>0</v>
      </c>
      <c r="AB91" s="30" t="n">
        <v>157.940103784987</v>
      </c>
      <c r="AD91" s="28" t="n">
        <v>300.85</v>
      </c>
      <c r="AE91" s="30" t="n">
        <f aca="false">AD91*1000/C91/D91*145.038/SQRT(145.038*L91)</f>
        <v>6.08308092334792</v>
      </c>
      <c r="AF91" s="32" t="n">
        <f aca="false">AD91*1000/C91/D91</f>
        <v>2.14892857142857</v>
      </c>
    </row>
    <row r="92" customFormat="false" ht="25.5" hidden="false" customHeight="true" outlineLevel="0" collapsed="false">
      <c r="A92" s="33"/>
      <c r="B92" s="34" t="s">
        <v>133</v>
      </c>
      <c r="C92" s="26" t="n">
        <v>80</v>
      </c>
      <c r="D92" s="26" t="n">
        <v>1700</v>
      </c>
      <c r="E92" s="26" t="n">
        <v>1200</v>
      </c>
      <c r="F92" s="20" t="n">
        <v>0.35</v>
      </c>
      <c r="G92" s="20" t="n">
        <v>0.705882352941177</v>
      </c>
      <c r="H92" s="26" t="n">
        <v>1</v>
      </c>
      <c r="I92" s="26" t="n">
        <v>1</v>
      </c>
      <c r="J92" s="26" t="n">
        <v>2</v>
      </c>
      <c r="K92" s="20" t="n">
        <v>0</v>
      </c>
      <c r="L92" s="20" t="n">
        <v>17.1</v>
      </c>
      <c r="M92" s="20" t="n">
        <v>5.91541714725106</v>
      </c>
      <c r="N92" s="20" t="n">
        <v>366</v>
      </c>
      <c r="O92" s="20" t="n">
        <v>0</v>
      </c>
      <c r="P92" s="20" t="n">
        <v>0.125</v>
      </c>
      <c r="Q92" s="20" t="n">
        <v>366</v>
      </c>
      <c r="R92" s="20" t="n">
        <v>0.25</v>
      </c>
      <c r="S92" s="20" t="n">
        <v>366</v>
      </c>
      <c r="U92" s="35"/>
      <c r="V92" s="28" t="n">
        <v>0.0740561471442401</v>
      </c>
      <c r="W92" s="29" t="n">
        <f aca="false">D92/C92</f>
        <v>21.25</v>
      </c>
      <c r="X92" s="35"/>
      <c r="Y92" s="30" t="n">
        <v>5.35087719298246</v>
      </c>
      <c r="Z92" s="30" t="n">
        <v>2.67543859649123</v>
      </c>
      <c r="AA92" s="30" t="n">
        <v>0</v>
      </c>
      <c r="AB92" s="30" t="n">
        <v>126.610682800812</v>
      </c>
      <c r="AD92" s="28" t="n">
        <v>257.5</v>
      </c>
      <c r="AE92" s="30" t="n">
        <f aca="false">AD92*1000/C92/D92*145.038/SQRT(145.038*L92)</f>
        <v>5.51418294949261</v>
      </c>
      <c r="AF92" s="32" t="n">
        <f aca="false">AD92*1000/C92/D92</f>
        <v>1.89338235294118</v>
      </c>
    </row>
    <row r="93" customFormat="false" ht="25.5" hidden="false" customHeight="true" outlineLevel="0" collapsed="false">
      <c r="A93" s="33"/>
      <c r="B93" s="34" t="s">
        <v>134</v>
      </c>
      <c r="C93" s="26" t="n">
        <v>80</v>
      </c>
      <c r="D93" s="26" t="n">
        <v>1700</v>
      </c>
      <c r="E93" s="26" t="n">
        <v>1200</v>
      </c>
      <c r="F93" s="20" t="n">
        <v>0.35</v>
      </c>
      <c r="G93" s="20" t="n">
        <v>0.705882352941177</v>
      </c>
      <c r="H93" s="26" t="n">
        <v>1</v>
      </c>
      <c r="I93" s="26" t="n">
        <v>1</v>
      </c>
      <c r="J93" s="26" t="n">
        <v>2</v>
      </c>
      <c r="K93" s="20" t="n">
        <v>0</v>
      </c>
      <c r="L93" s="20" t="n">
        <v>19</v>
      </c>
      <c r="M93" s="20" t="n">
        <v>5.91541714725106</v>
      </c>
      <c r="N93" s="20" t="n">
        <v>366</v>
      </c>
      <c r="O93" s="20" t="n">
        <v>0</v>
      </c>
      <c r="P93" s="20" t="n">
        <v>0.25</v>
      </c>
      <c r="Q93" s="20" t="n">
        <v>366</v>
      </c>
      <c r="R93" s="20" t="n">
        <v>0.125</v>
      </c>
      <c r="S93" s="20" t="n">
        <v>366</v>
      </c>
      <c r="U93" s="35"/>
      <c r="V93" s="28" t="n">
        <v>0.0740561471442401</v>
      </c>
      <c r="W93" s="29" t="n">
        <f aca="false">D93/C93</f>
        <v>21.25</v>
      </c>
      <c r="X93" s="35"/>
      <c r="Y93" s="30" t="n">
        <v>2.40789473684211</v>
      </c>
      <c r="Z93" s="30" t="n">
        <v>4.81578947368421</v>
      </c>
      <c r="AA93" s="30" t="n">
        <v>0</v>
      </c>
      <c r="AB93" s="30" t="n">
        <v>113.949614520731</v>
      </c>
      <c r="AD93" s="28" t="n">
        <v>373.2597671525</v>
      </c>
      <c r="AE93" s="30" t="n">
        <f aca="false">AD93*1000/C93/D93*145.038/SQRT(145.038*L93)</f>
        <v>7.58291823614828</v>
      </c>
      <c r="AF93" s="32" t="n">
        <f aca="false">AD93*1000/C93/D93</f>
        <v>2.74455711141544</v>
      </c>
    </row>
    <row r="94" customFormat="false" ht="25.5" hidden="false" customHeight="true" outlineLevel="0" collapsed="false">
      <c r="A94" s="33"/>
      <c r="B94" s="34" t="s">
        <v>135</v>
      </c>
      <c r="C94" s="26" t="n">
        <v>80</v>
      </c>
      <c r="D94" s="26" t="n">
        <v>1700</v>
      </c>
      <c r="E94" s="26" t="n">
        <v>1200</v>
      </c>
      <c r="F94" s="20" t="n">
        <v>0.35</v>
      </c>
      <c r="G94" s="20" t="n">
        <v>0.705882352941177</v>
      </c>
      <c r="H94" s="26" t="n">
        <v>1</v>
      </c>
      <c r="I94" s="26" t="n">
        <v>1</v>
      </c>
      <c r="J94" s="26" t="n">
        <v>2</v>
      </c>
      <c r="K94" s="20" t="n">
        <v>0</v>
      </c>
      <c r="L94" s="20" t="n">
        <v>18.8</v>
      </c>
      <c r="M94" s="20" t="n">
        <v>5.91541714725106</v>
      </c>
      <c r="N94" s="20" t="n">
        <v>366</v>
      </c>
      <c r="O94" s="20" t="n">
        <v>0</v>
      </c>
      <c r="P94" s="20" t="n">
        <v>0.25</v>
      </c>
      <c r="Q94" s="20" t="n">
        <v>366</v>
      </c>
      <c r="R94" s="20" t="n">
        <v>0.25</v>
      </c>
      <c r="S94" s="20" t="n">
        <v>366</v>
      </c>
      <c r="U94" s="35"/>
      <c r="V94" s="28" t="n">
        <v>0.0740561471442401</v>
      </c>
      <c r="W94" s="29" t="n">
        <f aca="false">D94/C94</f>
        <v>21.25</v>
      </c>
      <c r="X94" s="35"/>
      <c r="Y94" s="30" t="n">
        <v>4.86702127659575</v>
      </c>
      <c r="Z94" s="30" t="n">
        <v>4.86702127659575</v>
      </c>
      <c r="AA94" s="30" t="n">
        <v>0</v>
      </c>
      <c r="AB94" s="30" t="n">
        <v>115.161844462441</v>
      </c>
      <c r="AD94" s="28" t="n">
        <v>375.9655478</v>
      </c>
      <c r="AE94" s="30" t="n">
        <f aca="false">AD94*1000/C94/D94*145.038/SQRT(145.038*L94)</f>
        <v>7.67840680882766</v>
      </c>
      <c r="AF94" s="32" t="n">
        <f aca="false">AD94*1000/C94/D94</f>
        <v>2.76445255735294</v>
      </c>
    </row>
    <row r="95" customFormat="false" ht="25.5" hidden="false" customHeight="true" outlineLevel="0" collapsed="false">
      <c r="A95" s="33" t="s">
        <v>136</v>
      </c>
      <c r="B95" s="34" t="s">
        <v>137</v>
      </c>
      <c r="C95" s="26" t="n">
        <v>75</v>
      </c>
      <c r="D95" s="26" t="n">
        <v>700</v>
      </c>
      <c r="E95" s="26" t="n">
        <v>1600</v>
      </c>
      <c r="F95" s="20" t="n">
        <v>2.5</v>
      </c>
      <c r="G95" s="20" t="n">
        <v>2.28571428571429</v>
      </c>
      <c r="H95" s="26" t="n">
        <v>1</v>
      </c>
      <c r="I95" s="26" t="n">
        <v>2</v>
      </c>
      <c r="J95" s="26" t="n">
        <v>1</v>
      </c>
      <c r="K95" s="20" t="n">
        <v>0.15</v>
      </c>
      <c r="L95" s="20" t="n">
        <v>27.4</v>
      </c>
      <c r="M95" s="20" t="n">
        <v>3.3912</v>
      </c>
      <c r="N95" s="20" t="n">
        <v>469.2</v>
      </c>
      <c r="O95" s="20" t="n">
        <v>0</v>
      </c>
      <c r="P95" s="20" t="n">
        <v>0.46158</v>
      </c>
      <c r="Q95" s="20" t="n">
        <v>523.9</v>
      </c>
      <c r="R95" s="20" t="n">
        <v>0.8042</v>
      </c>
      <c r="S95" s="20" t="n">
        <v>445.6</v>
      </c>
      <c r="U95" s="35"/>
      <c r="V95" s="28" t="n">
        <v>0.142857142857143</v>
      </c>
      <c r="W95" s="29" t="n">
        <f aca="false">D95/C95</f>
        <v>9.33333333333333</v>
      </c>
      <c r="X95" s="35"/>
      <c r="Y95" s="30" t="n">
        <v>13.0785226277372</v>
      </c>
      <c r="Z95" s="30" t="n">
        <v>8.82561175182482</v>
      </c>
      <c r="AA95" s="30" t="n">
        <v>0</v>
      </c>
      <c r="AB95" s="30" t="n">
        <v>58.0712058394161</v>
      </c>
      <c r="AD95" s="28" t="n">
        <v>110.511335754245</v>
      </c>
      <c r="AE95" s="30" t="n">
        <f aca="false">AD95*1000/C95/D95*145.038/SQRT(145.038*L95)</f>
        <v>4.8429852313803</v>
      </c>
      <c r="AF95" s="32" t="n">
        <f aca="false">AD95*1000/C95/D95</f>
        <v>2.10497782389038</v>
      </c>
    </row>
    <row r="96" customFormat="false" ht="25.5" hidden="false" customHeight="true" outlineLevel="0" collapsed="false">
      <c r="A96" s="33"/>
      <c r="B96" s="34" t="s">
        <v>138</v>
      </c>
      <c r="C96" s="26" t="n">
        <v>100</v>
      </c>
      <c r="D96" s="26" t="n">
        <v>700</v>
      </c>
      <c r="E96" s="26" t="n">
        <v>1180</v>
      </c>
      <c r="F96" s="20" t="n">
        <v>1.9</v>
      </c>
      <c r="G96" s="20" t="n">
        <v>1.68571428571429</v>
      </c>
      <c r="H96" s="26" t="n">
        <v>1</v>
      </c>
      <c r="I96" s="26" t="n">
        <v>2</v>
      </c>
      <c r="J96" s="26" t="n">
        <v>1</v>
      </c>
      <c r="K96" s="20" t="n">
        <v>0.15</v>
      </c>
      <c r="L96" s="20" t="n">
        <v>27.4</v>
      </c>
      <c r="M96" s="20" t="n">
        <v>3.14</v>
      </c>
      <c r="N96" s="20" t="n">
        <v>469.2</v>
      </c>
      <c r="O96" s="20" t="n">
        <v>0</v>
      </c>
      <c r="P96" s="20" t="n">
        <v>0.436111111111111</v>
      </c>
      <c r="Q96" s="20" t="n">
        <v>608.9</v>
      </c>
      <c r="R96" s="20" t="n">
        <v>0.6032</v>
      </c>
      <c r="S96" s="20" t="n">
        <v>445.6</v>
      </c>
      <c r="U96" s="35"/>
      <c r="V96" s="28" t="n">
        <v>0.142857142857143</v>
      </c>
      <c r="W96" s="29" t="n">
        <f aca="false">D96/C96</f>
        <v>7</v>
      </c>
      <c r="X96" s="35"/>
      <c r="Y96" s="30" t="n">
        <v>9.80970510948905</v>
      </c>
      <c r="Z96" s="30" t="n">
        <v>9.69153487429035</v>
      </c>
      <c r="AA96" s="30" t="n">
        <v>0</v>
      </c>
      <c r="AB96" s="30" t="n">
        <v>53.7696350364964</v>
      </c>
      <c r="AD96" s="28" t="n">
        <v>189.876337226421</v>
      </c>
      <c r="AE96" s="30" t="n">
        <f aca="false">AD96*1000/C96/D96*145.038/SQRT(145.038*L96)</f>
        <v>6.24077356431387</v>
      </c>
      <c r="AF96" s="32" t="n">
        <f aca="false">AD96*1000/C96/D96</f>
        <v>2.71251910323458</v>
      </c>
    </row>
    <row r="97" customFormat="false" ht="25.5" hidden="false" customHeight="true" outlineLevel="0" collapsed="false">
      <c r="A97" s="33"/>
      <c r="B97" s="34" t="s">
        <v>139</v>
      </c>
      <c r="C97" s="26" t="n">
        <v>100</v>
      </c>
      <c r="D97" s="26" t="n">
        <v>700</v>
      </c>
      <c r="E97" s="26" t="n">
        <v>1600</v>
      </c>
      <c r="F97" s="20" t="n">
        <v>2.5</v>
      </c>
      <c r="G97" s="20" t="n">
        <v>2.28571428571429</v>
      </c>
      <c r="H97" s="26" t="n">
        <v>1</v>
      </c>
      <c r="I97" s="26" t="n">
        <v>2</v>
      </c>
      <c r="J97" s="26" t="n">
        <v>1</v>
      </c>
      <c r="K97" s="20" t="n">
        <v>0.15</v>
      </c>
      <c r="L97" s="20" t="n">
        <v>27.4</v>
      </c>
      <c r="M97" s="20" t="n">
        <v>0</v>
      </c>
      <c r="N97" s="20" t="n">
        <v>0</v>
      </c>
      <c r="O97" s="20" t="n">
        <v>0</v>
      </c>
      <c r="P97" s="20" t="n">
        <v>0.436111111111111</v>
      </c>
      <c r="Q97" s="20" t="n">
        <v>608.9</v>
      </c>
      <c r="R97" s="20" t="n">
        <v>1.4362</v>
      </c>
      <c r="S97" s="20" t="n">
        <v>445.6</v>
      </c>
      <c r="U97" s="35"/>
      <c r="V97" s="28" t="n">
        <v>0</v>
      </c>
      <c r="W97" s="29" t="n">
        <f aca="false">D97/C97</f>
        <v>7</v>
      </c>
      <c r="X97" s="35"/>
      <c r="Y97" s="30" t="n">
        <v>23.356595620438</v>
      </c>
      <c r="Z97" s="30" t="n">
        <v>9.69153487429035</v>
      </c>
      <c r="AA97" s="30" t="n">
        <v>0</v>
      </c>
      <c r="AB97" s="30" t="n">
        <v>0</v>
      </c>
      <c r="AD97" s="28" t="n">
        <v>132.132692118952</v>
      </c>
      <c r="AE97" s="30" t="n">
        <f aca="false">AD97*1000/C97/D97*145.038/SQRT(145.038*L97)</f>
        <v>4.34288033992493</v>
      </c>
      <c r="AF97" s="32" t="n">
        <f aca="false">AD97*1000/C97/D97</f>
        <v>1.8876098874136</v>
      </c>
    </row>
    <row r="98" customFormat="false" ht="25.5" hidden="false" customHeight="true" outlineLevel="0" collapsed="false">
      <c r="A98" s="33"/>
      <c r="B98" s="34" t="s">
        <v>140</v>
      </c>
      <c r="C98" s="26" t="n">
        <v>100</v>
      </c>
      <c r="D98" s="26" t="n">
        <v>700</v>
      </c>
      <c r="E98" s="26" t="n">
        <v>1600</v>
      </c>
      <c r="F98" s="20" t="n">
        <v>2.5</v>
      </c>
      <c r="G98" s="20" t="n">
        <v>2.28571428571429</v>
      </c>
      <c r="H98" s="26" t="n">
        <v>1</v>
      </c>
      <c r="I98" s="26" t="n">
        <v>2</v>
      </c>
      <c r="J98" s="26" t="n">
        <v>1</v>
      </c>
      <c r="K98" s="20" t="n">
        <v>0.15</v>
      </c>
      <c r="L98" s="20" t="n">
        <v>27.4</v>
      </c>
      <c r="M98" s="20" t="n">
        <v>3.14</v>
      </c>
      <c r="N98" s="20" t="n">
        <v>469.2</v>
      </c>
      <c r="O98" s="20" t="n">
        <v>0</v>
      </c>
      <c r="P98" s="20" t="n">
        <v>0.436111111111111</v>
      </c>
      <c r="Q98" s="20" t="n">
        <v>608.9</v>
      </c>
      <c r="R98" s="20" t="n">
        <v>0.6032</v>
      </c>
      <c r="S98" s="20" t="n">
        <v>445.6</v>
      </c>
      <c r="U98" s="35"/>
      <c r="V98" s="28" t="n">
        <v>0.142857142857143</v>
      </c>
      <c r="W98" s="29" t="n">
        <f aca="false">D98/C98</f>
        <v>7</v>
      </c>
      <c r="X98" s="35"/>
      <c r="Y98" s="30" t="n">
        <v>9.80970510948905</v>
      </c>
      <c r="Z98" s="30" t="n">
        <v>9.69153487429035</v>
      </c>
      <c r="AA98" s="30" t="n">
        <v>0</v>
      </c>
      <c r="AB98" s="30" t="n">
        <v>53.7696350364964</v>
      </c>
      <c r="AD98" s="28" t="n">
        <v>144.763961134557</v>
      </c>
      <c r="AE98" s="30" t="n">
        <f aca="false">AD98*1000/C98/D98*145.038/SQRT(145.038*L98)</f>
        <v>4.75803944246399</v>
      </c>
      <c r="AF98" s="32" t="n">
        <f aca="false">AD98*1000/C98/D98</f>
        <v>2.06805658763653</v>
      </c>
    </row>
    <row r="99" customFormat="false" ht="25.5" hidden="false" customHeight="true" outlineLevel="0" collapsed="false">
      <c r="A99" s="33"/>
      <c r="B99" s="34" t="s">
        <v>141</v>
      </c>
      <c r="C99" s="26" t="n">
        <v>100</v>
      </c>
      <c r="D99" s="26" t="n">
        <v>700</v>
      </c>
      <c r="E99" s="26" t="n">
        <v>1600</v>
      </c>
      <c r="F99" s="20" t="n">
        <v>2.5</v>
      </c>
      <c r="G99" s="20" t="n">
        <v>2.28571428571429</v>
      </c>
      <c r="H99" s="26" t="n">
        <v>1</v>
      </c>
      <c r="I99" s="26" t="n">
        <v>2</v>
      </c>
      <c r="J99" s="26" t="n">
        <v>1</v>
      </c>
      <c r="K99" s="20" t="n">
        <v>0.15</v>
      </c>
      <c r="L99" s="20" t="n">
        <v>27.4</v>
      </c>
      <c r="M99" s="20" t="n">
        <v>3.14</v>
      </c>
      <c r="N99" s="20" t="n">
        <v>469.2</v>
      </c>
      <c r="O99" s="20" t="n">
        <v>0.436111111111111</v>
      </c>
      <c r="P99" s="20" t="n">
        <v>0.436111111111111</v>
      </c>
      <c r="Q99" s="20" t="n">
        <v>608.9</v>
      </c>
      <c r="R99" s="20" t="n">
        <v>0.6032</v>
      </c>
      <c r="S99" s="20" t="n">
        <v>445.6</v>
      </c>
      <c r="U99" s="35"/>
      <c r="V99" s="28" t="n">
        <v>0.142857142857143</v>
      </c>
      <c r="W99" s="29" t="n">
        <f aca="false">D99/C99</f>
        <v>7</v>
      </c>
      <c r="X99" s="35"/>
      <c r="Y99" s="30" t="n">
        <v>9.80970510948905</v>
      </c>
      <c r="Z99" s="30" t="n">
        <v>9.69153487429035</v>
      </c>
      <c r="AA99" s="30" t="n">
        <v>9.69153487429035</v>
      </c>
      <c r="AB99" s="30" t="n">
        <v>53.7696350364964</v>
      </c>
      <c r="AD99" s="28" t="n">
        <v>159.1381</v>
      </c>
      <c r="AE99" s="30" t="n">
        <f aca="false">AD99*1000/C99/D99*145.038/SQRT(145.038*L99)</f>
        <v>5.23048243958302</v>
      </c>
      <c r="AF99" s="32" t="n">
        <f aca="false">AD99*1000/C99/D99</f>
        <v>2.27340142857143</v>
      </c>
    </row>
    <row r="100" customFormat="false" ht="25.5" hidden="false" customHeight="true" outlineLevel="0" collapsed="false">
      <c r="A100" s="33"/>
      <c r="B100" s="34" t="s">
        <v>142</v>
      </c>
      <c r="C100" s="26" t="n">
        <v>100</v>
      </c>
      <c r="D100" s="26" t="n">
        <v>700</v>
      </c>
      <c r="E100" s="26" t="n">
        <v>1600</v>
      </c>
      <c r="F100" s="20" t="n">
        <v>2.5</v>
      </c>
      <c r="G100" s="20" t="n">
        <v>2.28571428571429</v>
      </c>
      <c r="H100" s="26" t="n">
        <v>1</v>
      </c>
      <c r="I100" s="26" t="n">
        <v>2</v>
      </c>
      <c r="J100" s="26" t="n">
        <v>1</v>
      </c>
      <c r="K100" s="20" t="n">
        <v>0.15</v>
      </c>
      <c r="L100" s="20" t="n">
        <v>27.4</v>
      </c>
      <c r="M100" s="20" t="n">
        <v>3.14</v>
      </c>
      <c r="N100" s="20" t="n">
        <v>469.2</v>
      </c>
      <c r="O100" s="20" t="n">
        <v>0</v>
      </c>
      <c r="P100" s="20" t="n">
        <v>0.436111111111111</v>
      </c>
      <c r="Q100" s="20" t="n">
        <v>608.9</v>
      </c>
      <c r="R100" s="20" t="n">
        <v>0.6032</v>
      </c>
      <c r="S100" s="20" t="n">
        <v>445.6</v>
      </c>
      <c r="U100" s="35"/>
      <c r="V100" s="28" t="n">
        <v>0.142857142857143</v>
      </c>
      <c r="W100" s="29" t="n">
        <f aca="false">D100/C100</f>
        <v>7</v>
      </c>
      <c r="X100" s="35"/>
      <c r="Y100" s="30" t="n">
        <v>9.80970510948905</v>
      </c>
      <c r="Z100" s="30" t="n">
        <v>9.69153487429035</v>
      </c>
      <c r="AA100" s="30" t="n">
        <v>0</v>
      </c>
      <c r="AB100" s="30" t="n">
        <v>53.7696350364964</v>
      </c>
      <c r="AD100" s="28" t="n">
        <v>143.821768573952</v>
      </c>
      <c r="AE100" s="30" t="n">
        <f aca="false">AD100*1000/C100/D100*145.038/SQRT(145.038*L100)</f>
        <v>4.72707186371982</v>
      </c>
      <c r="AF100" s="32" t="n">
        <f aca="false">AD100*1000/C100/D100</f>
        <v>2.0545966939136</v>
      </c>
    </row>
    <row r="101" customFormat="false" ht="25.5" hidden="false" customHeight="true" outlineLevel="0" collapsed="false">
      <c r="A101" s="42" t="s">
        <v>143</v>
      </c>
      <c r="B101" s="25" t="s">
        <v>144</v>
      </c>
      <c r="C101" s="26" t="n">
        <v>120</v>
      </c>
      <c r="D101" s="26" t="n">
        <v>3500</v>
      </c>
      <c r="E101" s="26" t="n">
        <v>1800</v>
      </c>
      <c r="F101" s="20" t="n">
        <v>0.514</v>
      </c>
      <c r="G101" s="20" t="n">
        <v>0.514</v>
      </c>
      <c r="H101" s="26" t="n">
        <v>2</v>
      </c>
      <c r="I101" s="26" t="n">
        <v>1</v>
      </c>
      <c r="J101" s="26" t="n">
        <v>1</v>
      </c>
      <c r="K101" s="20" t="n">
        <v>0</v>
      </c>
      <c r="L101" s="20" t="n">
        <v>13.9</v>
      </c>
      <c r="M101" s="20" t="n">
        <v>1.89</v>
      </c>
      <c r="N101" s="20" t="n">
        <v>571</v>
      </c>
      <c r="O101" s="28" t="n">
        <v>1.05564058145312</v>
      </c>
      <c r="P101" s="20" t="n">
        <v>0.19689495624061</v>
      </c>
      <c r="Q101" s="20" t="n">
        <v>364</v>
      </c>
      <c r="R101" s="20" t="n">
        <v>0.198</v>
      </c>
      <c r="S101" s="20" t="n">
        <v>364</v>
      </c>
      <c r="U101" s="27" t="s">
        <v>145</v>
      </c>
      <c r="V101" s="28" t="n">
        <v>0.25</v>
      </c>
      <c r="W101" s="29" t="n">
        <f aca="false">D101/C101</f>
        <v>29.1666666666667</v>
      </c>
      <c r="X101" s="35"/>
      <c r="Y101" s="30" t="n">
        <v>5.18503597122302</v>
      </c>
      <c r="Z101" s="30" t="n">
        <v>5.1560981346462</v>
      </c>
      <c r="AA101" s="30" t="n">
        <v>33.64379694847</v>
      </c>
      <c r="AB101" s="30" t="n">
        <v>77.6395683453237</v>
      </c>
      <c r="AD101" s="39" t="n">
        <v>1145</v>
      </c>
      <c r="AE101" s="30" t="n">
        <f aca="false">AD101*1000/C101/D101*145.038/SQRT(145.038*L101)</f>
        <v>8.80622337437648</v>
      </c>
      <c r="AF101" s="32" t="n">
        <f aca="false">AD101*1000/C101/D101</f>
        <v>2.72619047619048</v>
      </c>
    </row>
    <row r="102" customFormat="false" ht="25.5" hidden="false" customHeight="true" outlineLevel="0" collapsed="false">
      <c r="A102" s="42"/>
      <c r="B102" s="25" t="s">
        <v>146</v>
      </c>
      <c r="C102" s="26" t="n">
        <v>150</v>
      </c>
      <c r="D102" s="26" t="n">
        <v>3500</v>
      </c>
      <c r="E102" s="26" t="n">
        <v>1800</v>
      </c>
      <c r="F102" s="20" t="n">
        <v>0.514</v>
      </c>
      <c r="G102" s="20" t="n">
        <v>0.514</v>
      </c>
      <c r="H102" s="26" t="n">
        <v>2</v>
      </c>
      <c r="I102" s="26" t="n">
        <v>1</v>
      </c>
      <c r="J102" s="26" t="n">
        <v>1</v>
      </c>
      <c r="K102" s="20" t="n">
        <v>0</v>
      </c>
      <c r="L102" s="20" t="n">
        <v>22.6</v>
      </c>
      <c r="M102" s="20" t="n">
        <v>1.89</v>
      </c>
      <c r="N102" s="20" t="n">
        <v>571</v>
      </c>
      <c r="O102" s="28" t="n">
        <v>1.05564058145312</v>
      </c>
      <c r="P102" s="20" t="n">
        <v>0.236273947488732</v>
      </c>
      <c r="Q102" s="20" t="n">
        <v>443</v>
      </c>
      <c r="R102" s="20" t="n">
        <v>0.845</v>
      </c>
      <c r="S102" s="20" t="n">
        <v>443</v>
      </c>
      <c r="U102" s="27" t="s">
        <v>145</v>
      </c>
      <c r="V102" s="28" t="n">
        <v>0.222222222222222</v>
      </c>
      <c r="W102" s="29" t="n">
        <f aca="false">D102/C102</f>
        <v>23.3333333333333</v>
      </c>
      <c r="X102" s="35"/>
      <c r="Y102" s="30" t="n">
        <v>16.5634955752212</v>
      </c>
      <c r="Z102" s="30" t="n">
        <v>4.63138755475701</v>
      </c>
      <c r="AA102" s="30" t="n">
        <v>20.6924237868908</v>
      </c>
      <c r="AB102" s="30" t="n">
        <v>47.7517699115044</v>
      </c>
      <c r="AD102" s="39" t="n">
        <v>2131</v>
      </c>
      <c r="AE102" s="30" t="n">
        <f aca="false">AD102*1000/C102/D102*145.038/SQRT(145.038*L102)</f>
        <v>10.2827867188772</v>
      </c>
      <c r="AF102" s="32" t="n">
        <f aca="false">AD102*1000/C102/D102</f>
        <v>4.05904761904762</v>
      </c>
    </row>
    <row r="103" customFormat="false" ht="25.5" hidden="false" customHeight="true" outlineLevel="0" collapsed="false">
      <c r="A103" s="24" t="s">
        <v>147</v>
      </c>
      <c r="B103" s="25" t="s">
        <v>148</v>
      </c>
      <c r="C103" s="26" t="n">
        <v>120</v>
      </c>
      <c r="D103" s="26" t="n">
        <v>1000</v>
      </c>
      <c r="E103" s="26" t="n">
        <v>1950</v>
      </c>
      <c r="F103" s="20" t="n">
        <v>1.95</v>
      </c>
      <c r="G103" s="20" t="n">
        <v>1.95</v>
      </c>
      <c r="H103" s="26" t="n">
        <v>1</v>
      </c>
      <c r="I103" s="26" t="n">
        <v>2</v>
      </c>
      <c r="J103" s="26" t="n">
        <v>1</v>
      </c>
      <c r="K103" s="28" t="n">
        <v>0.0725308641975309</v>
      </c>
      <c r="L103" s="20" t="n">
        <v>27</v>
      </c>
      <c r="M103" s="20" t="n">
        <v>1.92248940186113</v>
      </c>
      <c r="N103" s="20" t="n">
        <v>490</v>
      </c>
      <c r="O103" s="28" t="n">
        <v>1.17521745183038</v>
      </c>
      <c r="P103" s="20" t="n">
        <v>0.837758040957278</v>
      </c>
      <c r="Q103" s="20" t="n">
        <v>338.8</v>
      </c>
      <c r="R103" s="20" t="n">
        <v>0.777553206934626</v>
      </c>
      <c r="S103" s="20" t="n">
        <v>338.8</v>
      </c>
      <c r="U103" s="13"/>
      <c r="V103" s="28" t="n">
        <v>0.1229</v>
      </c>
      <c r="W103" s="29" t="n">
        <f aca="false">D103/C103</f>
        <v>8.33333333333333</v>
      </c>
      <c r="X103" s="35"/>
      <c r="Y103" s="30" t="n">
        <v>9.75685283368338</v>
      </c>
      <c r="Z103" s="30" t="n">
        <v>10.5123120102343</v>
      </c>
      <c r="AA103" s="30" t="n">
        <v>16.1440056623662</v>
      </c>
      <c r="AB103" s="30" t="n">
        <v>34.8896224782204</v>
      </c>
      <c r="AD103" s="39" t="n">
        <v>200</v>
      </c>
      <c r="AE103" s="30" t="n">
        <f aca="false">AD103*1000/C103/D103*145.038/SQRT(145.038*L103)</f>
        <v>3.86284932896322</v>
      </c>
      <c r="AF103" s="32" t="n">
        <f aca="false">AD103*1000/C103/D103</f>
        <v>1.66666666666667</v>
      </c>
    </row>
    <row r="104" customFormat="false" ht="25.5" hidden="false" customHeight="true" outlineLevel="0" collapsed="false">
      <c r="A104" s="33" t="s">
        <v>149</v>
      </c>
      <c r="B104" s="34" t="s">
        <v>150</v>
      </c>
      <c r="C104" s="26" t="n">
        <v>80</v>
      </c>
      <c r="D104" s="26" t="n">
        <v>1700</v>
      </c>
      <c r="E104" s="26" t="n">
        <v>2000</v>
      </c>
      <c r="F104" s="20" t="n">
        <v>1.33</v>
      </c>
      <c r="G104" s="20" t="n">
        <v>1.17647058823529</v>
      </c>
      <c r="H104" s="26" t="n">
        <v>2</v>
      </c>
      <c r="I104" s="26" t="n">
        <v>2</v>
      </c>
      <c r="J104" s="26" t="n">
        <v>1</v>
      </c>
      <c r="K104" s="20" t="n">
        <v>0.14</v>
      </c>
      <c r="L104" s="20" t="n">
        <v>93.6</v>
      </c>
      <c r="M104" s="20" t="n">
        <v>2.138832195</v>
      </c>
      <c r="N104" s="20" t="n">
        <v>776</v>
      </c>
      <c r="O104" s="29" t="n">
        <v>2.3739871875</v>
      </c>
      <c r="P104" s="29" t="n">
        <v>0.527552708333333</v>
      </c>
      <c r="Q104" s="20" t="n">
        <v>1001</v>
      </c>
      <c r="R104" s="20" t="n">
        <v>0.527552708333333</v>
      </c>
      <c r="S104" s="20" t="n">
        <v>1001</v>
      </c>
      <c r="U104" s="35"/>
      <c r="V104" s="28" t="n">
        <v>0.217391304347826</v>
      </c>
      <c r="W104" s="29" t="n">
        <f aca="false">D104/C104</f>
        <v>21.25</v>
      </c>
      <c r="X104" s="35"/>
      <c r="Y104" s="30" t="n">
        <v>5.64188313078704</v>
      </c>
      <c r="Z104" s="30" t="n">
        <v>5.64188313078704</v>
      </c>
      <c r="AA104" s="30" t="n">
        <v>32.0082460536859</v>
      </c>
      <c r="AB104" s="30" t="n">
        <v>17.7321985397436</v>
      </c>
      <c r="AD104" s="28" t="n">
        <v>1468</v>
      </c>
      <c r="AE104" s="30" t="n">
        <f aca="false">AD104*1000/C104/D104*145.038/SQRT(145.038*L104)</f>
        <v>13.4366227525095</v>
      </c>
      <c r="AF104" s="32" t="n">
        <f aca="false">AD104*1000/C104/D104</f>
        <v>10.7941176470588</v>
      </c>
    </row>
    <row r="105" customFormat="false" ht="25.5" hidden="false" customHeight="true" outlineLevel="0" collapsed="false">
      <c r="A105" s="33"/>
      <c r="B105" s="34" t="s">
        <v>151</v>
      </c>
      <c r="C105" s="26" t="n">
        <v>80</v>
      </c>
      <c r="D105" s="26" t="n">
        <v>1700</v>
      </c>
      <c r="E105" s="26" t="n">
        <v>3000</v>
      </c>
      <c r="F105" s="20" t="n">
        <v>2</v>
      </c>
      <c r="G105" s="20" t="n">
        <v>1.76470588235294</v>
      </c>
      <c r="H105" s="26" t="n">
        <v>2</v>
      </c>
      <c r="I105" s="26" t="n">
        <v>2</v>
      </c>
      <c r="J105" s="26" t="n">
        <v>2</v>
      </c>
      <c r="K105" s="20" t="n">
        <v>0.18</v>
      </c>
      <c r="L105" s="20" t="n">
        <v>55.5</v>
      </c>
      <c r="M105" s="20" t="n">
        <v>2.138832195</v>
      </c>
      <c r="N105" s="20" t="n">
        <v>840</v>
      </c>
      <c r="O105" s="29" t="n">
        <v>1.471875</v>
      </c>
      <c r="P105" s="29" t="n">
        <v>0.263776354166667</v>
      </c>
      <c r="Q105" s="20" t="n">
        <v>753</v>
      </c>
      <c r="R105" s="20" t="n">
        <v>0.263776354166667</v>
      </c>
      <c r="S105" s="20" t="n">
        <v>753</v>
      </c>
      <c r="U105" s="35"/>
      <c r="V105" s="28" t="n">
        <v>0.217391304347826</v>
      </c>
      <c r="W105" s="29" t="n">
        <f aca="false">D105/C105</f>
        <v>21.25</v>
      </c>
      <c r="X105" s="35"/>
      <c r="Y105" s="30" t="n">
        <v>3.57880350788288</v>
      </c>
      <c r="Z105" s="30" t="n">
        <v>3.57880350788288</v>
      </c>
      <c r="AA105" s="30" t="n">
        <v>32.6994932432433</v>
      </c>
      <c r="AB105" s="30" t="n">
        <v>32.3715143027027</v>
      </c>
      <c r="AD105" s="28" t="n">
        <v>708.2305</v>
      </c>
      <c r="AE105" s="30" t="n">
        <f aca="false">AD105*1000/C105/D105*145.038/SQRT(145.038*L105)</f>
        <v>8.41841104200154</v>
      </c>
      <c r="AF105" s="32" t="n">
        <f aca="false">AD105*1000/C105/D105</f>
        <v>5.20757720588235</v>
      </c>
    </row>
    <row r="106" customFormat="false" ht="25.5" hidden="false" customHeight="true" outlineLevel="0" collapsed="false">
      <c r="A106" s="33"/>
      <c r="B106" s="34" t="s">
        <v>152</v>
      </c>
      <c r="C106" s="26" t="n">
        <v>80</v>
      </c>
      <c r="D106" s="26" t="n">
        <v>1700</v>
      </c>
      <c r="E106" s="26" t="n">
        <v>3000</v>
      </c>
      <c r="F106" s="20" t="n">
        <v>2</v>
      </c>
      <c r="G106" s="20" t="n">
        <v>1.76470588235294</v>
      </c>
      <c r="H106" s="26" t="n">
        <v>2</v>
      </c>
      <c r="I106" s="26" t="n">
        <v>2</v>
      </c>
      <c r="J106" s="26" t="n">
        <v>2</v>
      </c>
      <c r="K106" s="20" t="n">
        <v>0.21</v>
      </c>
      <c r="L106" s="20" t="n">
        <v>54.6</v>
      </c>
      <c r="M106" s="20" t="n">
        <v>2.85177626</v>
      </c>
      <c r="N106" s="20" t="n">
        <v>840</v>
      </c>
      <c r="O106" s="29" t="n">
        <v>1.471875</v>
      </c>
      <c r="P106" s="29" t="n">
        <v>0.263776354166667</v>
      </c>
      <c r="Q106" s="20" t="n">
        <v>753</v>
      </c>
      <c r="R106" s="20" t="n">
        <v>0.263776354166667</v>
      </c>
      <c r="S106" s="20" t="n">
        <v>753</v>
      </c>
      <c r="U106" s="35"/>
      <c r="V106" s="28" t="n">
        <v>0.217391304347826</v>
      </c>
      <c r="W106" s="29" t="n">
        <f aca="false">D106/C106</f>
        <v>21.25</v>
      </c>
      <c r="X106" s="35"/>
      <c r="Y106" s="30" t="n">
        <v>3.63779477449634</v>
      </c>
      <c r="Z106" s="30" t="n">
        <v>3.63779477449634</v>
      </c>
      <c r="AA106" s="30" t="n">
        <v>33.2384958791209</v>
      </c>
      <c r="AB106" s="30" t="n">
        <v>43.8734809230769</v>
      </c>
      <c r="AD106" s="28" t="n">
        <v>784</v>
      </c>
      <c r="AE106" s="30" t="n">
        <f aca="false">AD106*1000/C106/D106*145.038/SQRT(145.038*L106)</f>
        <v>9.39553974791468</v>
      </c>
      <c r="AF106" s="32" t="n">
        <f aca="false">AD106*1000/C106/D106</f>
        <v>5.76470588235294</v>
      </c>
    </row>
    <row r="107" customFormat="false" ht="25.5" hidden="false" customHeight="true" outlineLevel="0" collapsed="false">
      <c r="A107" s="33"/>
      <c r="B107" s="34" t="s">
        <v>153</v>
      </c>
      <c r="C107" s="26" t="n">
        <v>80</v>
      </c>
      <c r="D107" s="26" t="n">
        <v>1700</v>
      </c>
      <c r="E107" s="26" t="n">
        <v>3000</v>
      </c>
      <c r="F107" s="20" t="n">
        <v>2</v>
      </c>
      <c r="G107" s="20" t="n">
        <v>1.76470588235294</v>
      </c>
      <c r="H107" s="26" t="n">
        <v>2</v>
      </c>
      <c r="I107" s="26" t="n">
        <v>2</v>
      </c>
      <c r="J107" s="26" t="n">
        <v>2</v>
      </c>
      <c r="K107" s="20" t="n">
        <v>0.12</v>
      </c>
      <c r="L107" s="20" t="n">
        <v>60.3</v>
      </c>
      <c r="M107" s="20" t="n">
        <v>2.85177626</v>
      </c>
      <c r="N107" s="20" t="n">
        <v>840</v>
      </c>
      <c r="O107" s="29" t="n">
        <v>1.471875</v>
      </c>
      <c r="P107" s="29" t="n">
        <v>0.527552708333333</v>
      </c>
      <c r="Q107" s="20" t="n">
        <v>753</v>
      </c>
      <c r="R107" s="20" t="n">
        <v>0.527552708333333</v>
      </c>
      <c r="S107" s="20" t="n">
        <v>753</v>
      </c>
      <c r="U107" s="35"/>
      <c r="V107" s="28" t="n">
        <v>0.217391304347826</v>
      </c>
      <c r="W107" s="29" t="n">
        <f aca="false">D107/C107</f>
        <v>21.25</v>
      </c>
      <c r="X107" s="35"/>
      <c r="Y107" s="30" t="n">
        <v>6.58784725331675</v>
      </c>
      <c r="Z107" s="30" t="n">
        <v>6.58784725331675</v>
      </c>
      <c r="AA107" s="30" t="n">
        <v>30.0965485074627</v>
      </c>
      <c r="AB107" s="30" t="n">
        <v>39.7262364577114</v>
      </c>
      <c r="AD107" s="28" t="n">
        <v>898.3695</v>
      </c>
      <c r="AE107" s="30" t="n">
        <f aca="false">AD107*1000/C107/D107*145.038/SQRT(145.038*L107)</f>
        <v>10.244678546012</v>
      </c>
      <c r="AF107" s="32" t="n">
        <f aca="false">AD107*1000/C107/D107</f>
        <v>6.60565808823529</v>
      </c>
    </row>
    <row r="108" customFormat="false" ht="25.5" hidden="false" customHeight="true" outlineLevel="0" collapsed="false">
      <c r="A108" s="33"/>
      <c r="B108" s="34" t="s">
        <v>154</v>
      </c>
      <c r="C108" s="26" t="n">
        <v>80</v>
      </c>
      <c r="D108" s="26" t="n">
        <v>1700</v>
      </c>
      <c r="E108" s="26" t="n">
        <v>3000</v>
      </c>
      <c r="F108" s="20" t="n">
        <v>2</v>
      </c>
      <c r="G108" s="20" t="n">
        <v>1.76470588235294</v>
      </c>
      <c r="H108" s="26" t="n">
        <v>2</v>
      </c>
      <c r="I108" s="26" t="n">
        <v>2</v>
      </c>
      <c r="J108" s="26" t="n">
        <v>2</v>
      </c>
      <c r="K108" s="20" t="n">
        <v>0.18</v>
      </c>
      <c r="L108" s="20" t="n">
        <v>65.2</v>
      </c>
      <c r="M108" s="20" t="n">
        <v>3.7983795</v>
      </c>
      <c r="N108" s="20" t="n">
        <v>776</v>
      </c>
      <c r="O108" s="29" t="n">
        <v>1.471875</v>
      </c>
      <c r="P108" s="29" t="n">
        <v>0.527552708333333</v>
      </c>
      <c r="Q108" s="20" t="n">
        <v>753</v>
      </c>
      <c r="R108" s="20" t="n">
        <v>0.527552708333333</v>
      </c>
      <c r="S108" s="20" t="n">
        <v>753</v>
      </c>
      <c r="U108" s="35"/>
      <c r="V108" s="28" t="n">
        <v>0.217391304347826</v>
      </c>
      <c r="W108" s="29" t="n">
        <f aca="false">D108/C108</f>
        <v>21.25</v>
      </c>
      <c r="X108" s="35"/>
      <c r="Y108" s="30" t="n">
        <v>6.09274830329755</v>
      </c>
      <c r="Z108" s="30" t="n">
        <v>6.09274830329755</v>
      </c>
      <c r="AA108" s="30" t="n">
        <v>27.8346913343558</v>
      </c>
      <c r="AB108" s="30" t="n">
        <v>45.2077069325153</v>
      </c>
      <c r="AD108" s="28" t="n">
        <v>1034.22</v>
      </c>
      <c r="AE108" s="30" t="n">
        <f aca="false">AD108*1000/C108/D108*145.038/SQRT(145.038*L108)</f>
        <v>11.3420387571113</v>
      </c>
      <c r="AF108" s="32" t="n">
        <f aca="false">AD108*1000/C108/D108</f>
        <v>7.60455882352941</v>
      </c>
    </row>
    <row r="109" customFormat="false" ht="25.5" hidden="false" customHeight="true" outlineLevel="0" collapsed="false">
      <c r="A109" s="33"/>
      <c r="B109" s="25" t="s">
        <v>155</v>
      </c>
      <c r="C109" s="26" t="n">
        <v>80</v>
      </c>
      <c r="D109" s="26" t="n">
        <v>1700</v>
      </c>
      <c r="E109" s="26" t="n">
        <v>2000</v>
      </c>
      <c r="F109" s="20" t="n">
        <v>0.66</v>
      </c>
      <c r="G109" s="20" t="n">
        <v>1.17647058823529</v>
      </c>
      <c r="H109" s="26" t="n">
        <v>2</v>
      </c>
      <c r="I109" s="26" t="n">
        <v>1</v>
      </c>
      <c r="J109" s="26" t="n">
        <v>2</v>
      </c>
      <c r="K109" s="20" t="n">
        <v>0.13</v>
      </c>
      <c r="L109" s="20" t="n">
        <v>103.3</v>
      </c>
      <c r="M109" s="20" t="n">
        <v>2.138832195</v>
      </c>
      <c r="N109" s="20" t="n">
        <v>761</v>
      </c>
      <c r="O109" s="29" t="n">
        <v>2.3739871875</v>
      </c>
      <c r="P109" s="29" t="n">
        <v>0.527552708333333</v>
      </c>
      <c r="Q109" s="20" t="n">
        <v>1079</v>
      </c>
      <c r="R109" s="20" t="n">
        <v>0.527552708333333</v>
      </c>
      <c r="S109" s="20" t="n">
        <v>1079</v>
      </c>
      <c r="U109" s="35"/>
      <c r="V109" s="28" t="n">
        <v>0.217391304347826</v>
      </c>
      <c r="W109" s="29" t="n">
        <f aca="false">D109/C109</f>
        <v>21.25</v>
      </c>
      <c r="X109" s="35"/>
      <c r="Y109" s="30" t="n">
        <v>5.51044890892223</v>
      </c>
      <c r="Z109" s="30" t="n">
        <v>5.51044890892223</v>
      </c>
      <c r="AA109" s="30" t="n">
        <v>31.5305945909971</v>
      </c>
      <c r="AB109" s="30" t="n">
        <v>15.7565469544531</v>
      </c>
      <c r="AD109" s="28" t="n">
        <v>1717.2236503856</v>
      </c>
      <c r="AE109" s="30" t="n">
        <f aca="false">AD109*1000/C109/D109*145.038/SQRT(145.038*L109)</f>
        <v>14.9616225161544</v>
      </c>
      <c r="AF109" s="32" t="n">
        <f aca="false">AD109*1000/C109/D109</f>
        <v>12.6266444881294</v>
      </c>
    </row>
    <row r="110" customFormat="false" ht="25.5" hidden="false" customHeight="true" outlineLevel="0" collapsed="false">
      <c r="A110" s="33"/>
      <c r="B110" s="25" t="s">
        <v>156</v>
      </c>
      <c r="C110" s="26" t="n">
        <v>80</v>
      </c>
      <c r="D110" s="26" t="n">
        <v>1700</v>
      </c>
      <c r="E110" s="26" t="n">
        <v>2000</v>
      </c>
      <c r="F110" s="20" t="n">
        <v>0.66</v>
      </c>
      <c r="G110" s="20" t="n">
        <v>1.17647058823529</v>
      </c>
      <c r="H110" s="26" t="n">
        <v>2</v>
      </c>
      <c r="I110" s="26" t="n">
        <v>1</v>
      </c>
      <c r="J110" s="26" t="n">
        <v>2</v>
      </c>
      <c r="K110" s="20" t="n">
        <v>0.12</v>
      </c>
      <c r="L110" s="20" t="n">
        <v>137.5</v>
      </c>
      <c r="M110" s="20" t="n">
        <v>2.138832195</v>
      </c>
      <c r="N110" s="20" t="n">
        <v>761</v>
      </c>
      <c r="O110" s="29" t="n">
        <v>2.3739871875</v>
      </c>
      <c r="P110" s="29" t="n">
        <v>0.527552708333333</v>
      </c>
      <c r="Q110" s="20" t="n">
        <v>1079</v>
      </c>
      <c r="R110" s="20" t="n">
        <v>0.527552708333333</v>
      </c>
      <c r="S110" s="20" t="n">
        <v>1079</v>
      </c>
      <c r="U110" s="35"/>
      <c r="V110" s="28" t="n">
        <v>0.217391304347826</v>
      </c>
      <c r="W110" s="29" t="n">
        <f aca="false">D110/C110</f>
        <v>21.25</v>
      </c>
      <c r="X110" s="35"/>
      <c r="Y110" s="30" t="n">
        <v>4.13984998030303</v>
      </c>
      <c r="Z110" s="30" t="n">
        <v>4.13984998030303</v>
      </c>
      <c r="AA110" s="30" t="n">
        <v>23.6880757909091</v>
      </c>
      <c r="AB110" s="30" t="n">
        <v>11.8374640028727</v>
      </c>
      <c r="AD110" s="28" t="n">
        <v>1760.36866359447</v>
      </c>
      <c r="AE110" s="30" t="n">
        <f aca="false">AD110*1000/C110/D110*145.038/SQRT(145.038*L110)</f>
        <v>13.2939570958845</v>
      </c>
      <c r="AF110" s="32" t="n">
        <f aca="false">AD110*1000/C110/D110</f>
        <v>12.9438872323123</v>
      </c>
    </row>
    <row r="111" customFormat="false" ht="25.5" hidden="false" customHeight="true" outlineLevel="0" collapsed="false">
      <c r="A111" s="33"/>
      <c r="B111" s="34" t="s">
        <v>157</v>
      </c>
      <c r="C111" s="26" t="n">
        <v>80</v>
      </c>
      <c r="D111" s="26" t="n">
        <v>1700</v>
      </c>
      <c r="E111" s="26" t="n">
        <v>2000</v>
      </c>
      <c r="F111" s="20" t="n">
        <v>1.33</v>
      </c>
      <c r="G111" s="20" t="n">
        <v>1.17647058823529</v>
      </c>
      <c r="H111" s="26" t="n">
        <v>2</v>
      </c>
      <c r="I111" s="26" t="n">
        <v>1</v>
      </c>
      <c r="J111" s="26" t="n">
        <v>1</v>
      </c>
      <c r="K111" s="20" t="n">
        <v>0.18</v>
      </c>
      <c r="L111" s="20" t="n">
        <v>65.1</v>
      </c>
      <c r="M111" s="20" t="n">
        <v>5.064506</v>
      </c>
      <c r="N111" s="20" t="n">
        <v>1009</v>
      </c>
      <c r="O111" s="29" t="n">
        <v>2.3739871875</v>
      </c>
      <c r="P111" s="29" t="n">
        <v>0.197832265625</v>
      </c>
      <c r="Q111" s="20" t="n">
        <v>792</v>
      </c>
      <c r="R111" s="20" t="n">
        <v>0.197832265625</v>
      </c>
      <c r="S111" s="20" t="n">
        <v>792</v>
      </c>
      <c r="U111" s="35"/>
      <c r="V111" s="28" t="n">
        <v>0.217391304347826</v>
      </c>
      <c r="W111" s="29" t="n">
        <f aca="false">D111/C111</f>
        <v>21.25</v>
      </c>
      <c r="X111" s="35"/>
      <c r="Y111" s="30" t="n">
        <v>2.40680728686636</v>
      </c>
      <c r="Z111" s="30" t="n">
        <v>2.40680728686636</v>
      </c>
      <c r="AA111" s="30" t="n">
        <v>50.8711540178572</v>
      </c>
      <c r="AB111" s="30" t="n">
        <v>78.4959532104455</v>
      </c>
      <c r="AD111" s="28" t="n">
        <v>1101</v>
      </c>
      <c r="AE111" s="30" t="n">
        <f aca="false">AD111*1000/C111/D111*145.038/SQRT(145.038*L111)</f>
        <v>12.083668919623</v>
      </c>
      <c r="AF111" s="32" t="n">
        <f aca="false">AD111*1000/C111/D111</f>
        <v>8.09558823529412</v>
      </c>
    </row>
    <row r="112" customFormat="false" ht="25.5" hidden="false" customHeight="true" outlineLevel="0" collapsed="false">
      <c r="A112" s="33"/>
      <c r="B112" s="34" t="s">
        <v>158</v>
      </c>
      <c r="C112" s="26" t="n">
        <v>80</v>
      </c>
      <c r="D112" s="26" t="n">
        <v>1700</v>
      </c>
      <c r="E112" s="26" t="n">
        <v>2000</v>
      </c>
      <c r="F112" s="20" t="n">
        <v>1.33</v>
      </c>
      <c r="G112" s="20" t="n">
        <v>1.17647058823529</v>
      </c>
      <c r="H112" s="26" t="n">
        <v>2</v>
      </c>
      <c r="I112" s="26" t="n">
        <v>1</v>
      </c>
      <c r="J112" s="26" t="n">
        <v>1</v>
      </c>
      <c r="K112" s="20" t="n">
        <v>0.16</v>
      </c>
      <c r="L112" s="20" t="n">
        <v>70.8</v>
      </c>
      <c r="M112" s="20" t="n">
        <v>5.064506</v>
      </c>
      <c r="N112" s="20" t="n">
        <v>1009</v>
      </c>
      <c r="O112" s="29" t="n">
        <v>2.3739871875</v>
      </c>
      <c r="P112" s="29" t="n">
        <v>0.344056114130435</v>
      </c>
      <c r="Q112" s="20" t="n">
        <v>792</v>
      </c>
      <c r="R112" s="20" t="n">
        <v>0.344056114130435</v>
      </c>
      <c r="S112" s="20" t="n">
        <v>792</v>
      </c>
      <c r="U112" s="35"/>
      <c r="V112" s="28" t="n">
        <v>0.217391304347826</v>
      </c>
      <c r="W112" s="29" t="n">
        <f aca="false">D112/C112</f>
        <v>21.25</v>
      </c>
      <c r="X112" s="35"/>
      <c r="Y112" s="30" t="n">
        <v>3.84876331061164</v>
      </c>
      <c r="Z112" s="30" t="n">
        <v>3.84876331061164</v>
      </c>
      <c r="AA112" s="30" t="n">
        <v>46.7755950079449</v>
      </c>
      <c r="AB112" s="30" t="n">
        <v>72.1763637570622</v>
      </c>
      <c r="AD112" s="28" t="n">
        <v>1255</v>
      </c>
      <c r="AE112" s="30" t="n">
        <f aca="false">AD112*1000/C112/D112*145.038/SQRT(145.038*L112)</f>
        <v>13.2077576009274</v>
      </c>
      <c r="AF112" s="32" t="n">
        <f aca="false">AD112*1000/C112/D112</f>
        <v>9.22794117647059</v>
      </c>
    </row>
    <row r="113" customFormat="false" ht="25.5" hidden="false" customHeight="true" outlineLevel="0" collapsed="false">
      <c r="A113" s="33"/>
      <c r="B113" s="34" t="s">
        <v>159</v>
      </c>
      <c r="C113" s="26" t="n">
        <v>80</v>
      </c>
      <c r="D113" s="26" t="n">
        <v>1700</v>
      </c>
      <c r="E113" s="26" t="n">
        <v>2000</v>
      </c>
      <c r="F113" s="20" t="n">
        <v>1.33</v>
      </c>
      <c r="G113" s="20" t="n">
        <v>1.17647058823529</v>
      </c>
      <c r="H113" s="26" t="n">
        <v>2</v>
      </c>
      <c r="I113" s="26" t="n">
        <v>1</v>
      </c>
      <c r="J113" s="26" t="n">
        <v>1</v>
      </c>
      <c r="K113" s="20" t="n">
        <v>0.16</v>
      </c>
      <c r="L113" s="20" t="n">
        <v>71.8</v>
      </c>
      <c r="M113" s="20" t="n">
        <v>5.064506</v>
      </c>
      <c r="N113" s="20" t="n">
        <v>1009</v>
      </c>
      <c r="O113" s="29" t="n">
        <v>2.3739871875</v>
      </c>
      <c r="P113" s="29" t="n">
        <v>0.527552708333333</v>
      </c>
      <c r="Q113" s="20" t="n">
        <v>792</v>
      </c>
      <c r="R113" s="20" t="n">
        <v>0.527552708333333</v>
      </c>
      <c r="S113" s="20" t="n">
        <v>792</v>
      </c>
      <c r="U113" s="35"/>
      <c r="V113" s="28" t="n">
        <v>0.217391304347826</v>
      </c>
      <c r="W113" s="29" t="n">
        <f aca="false">D113/C113</f>
        <v>21.25</v>
      </c>
      <c r="X113" s="35"/>
      <c r="Y113" s="30" t="n">
        <v>5.81924435933148</v>
      </c>
      <c r="Z113" s="30" t="n">
        <v>5.81924435933148</v>
      </c>
      <c r="AA113" s="30" t="n">
        <v>46.124124325383</v>
      </c>
      <c r="AB113" s="30" t="n">
        <v>71.1711219220056</v>
      </c>
      <c r="AD113" s="28" t="n">
        <v>1382</v>
      </c>
      <c r="AE113" s="30" t="n">
        <f aca="false">AD113*1000/C113/D113*145.038/SQRT(145.038*L113)</f>
        <v>14.4426808272574</v>
      </c>
      <c r="AF113" s="32" t="n">
        <f aca="false">AD113*1000/C113/D113</f>
        <v>10.1617647058824</v>
      </c>
    </row>
    <row r="114" customFormat="false" ht="25.5" hidden="false" customHeight="true" outlineLevel="0" collapsed="false">
      <c r="A114" s="33"/>
      <c r="B114" s="34" t="s">
        <v>160</v>
      </c>
      <c r="C114" s="26" t="n">
        <v>80</v>
      </c>
      <c r="D114" s="26" t="n">
        <v>1700</v>
      </c>
      <c r="E114" s="26" t="n">
        <v>2000</v>
      </c>
      <c r="F114" s="20" t="n">
        <v>1.33</v>
      </c>
      <c r="G114" s="20" t="n">
        <v>1.17647058823529</v>
      </c>
      <c r="H114" s="26" t="n">
        <v>2</v>
      </c>
      <c r="I114" s="26" t="n">
        <v>1</v>
      </c>
      <c r="J114" s="26" t="n">
        <v>1</v>
      </c>
      <c r="K114" s="20" t="n">
        <v>0.19</v>
      </c>
      <c r="L114" s="20" t="n">
        <v>103.4</v>
      </c>
      <c r="M114" s="20" t="n">
        <v>5.064506</v>
      </c>
      <c r="N114" s="20" t="n">
        <v>1009</v>
      </c>
      <c r="O114" s="29" t="n">
        <v>2.3739871875</v>
      </c>
      <c r="P114" s="29" t="n">
        <v>0.527552708333333</v>
      </c>
      <c r="Q114" s="20" t="n">
        <v>792</v>
      </c>
      <c r="R114" s="20" t="n">
        <v>0.527552708333333</v>
      </c>
      <c r="S114" s="20" t="n">
        <v>792</v>
      </c>
      <c r="U114" s="35"/>
      <c r="V114" s="28" t="n">
        <v>0.217391304347826</v>
      </c>
      <c r="W114" s="29" t="n">
        <f aca="false">D114/C114</f>
        <v>21.25</v>
      </c>
      <c r="X114" s="35"/>
      <c r="Y114" s="30" t="n">
        <v>4.04082925531915</v>
      </c>
      <c r="Z114" s="30" t="n">
        <v>4.04082925531915</v>
      </c>
      <c r="AA114" s="30" t="n">
        <v>32.0281636998308</v>
      </c>
      <c r="AB114" s="30" t="n">
        <v>49.4205662862669</v>
      </c>
      <c r="AD114" s="28" t="n">
        <v>1697</v>
      </c>
      <c r="AE114" s="30" t="n">
        <f aca="false">AD114*1000/C114/D114*145.038/SQRT(145.038*L114)</f>
        <v>14.7782689416619</v>
      </c>
      <c r="AF114" s="32" t="n">
        <f aca="false">AD114*1000/C114/D114</f>
        <v>12.4779411764706</v>
      </c>
    </row>
    <row r="115" customFormat="false" ht="25.5" hidden="false" customHeight="true" outlineLevel="0" collapsed="false">
      <c r="A115" s="33"/>
      <c r="B115" s="34" t="s">
        <v>161</v>
      </c>
      <c r="C115" s="26" t="n">
        <v>80</v>
      </c>
      <c r="D115" s="26" t="n">
        <v>1700</v>
      </c>
      <c r="E115" s="26" t="n">
        <v>3000</v>
      </c>
      <c r="F115" s="20" t="n">
        <v>2</v>
      </c>
      <c r="G115" s="20" t="n">
        <v>1.76470588235294</v>
      </c>
      <c r="H115" s="26" t="n">
        <v>2</v>
      </c>
      <c r="I115" s="26" t="n">
        <v>2</v>
      </c>
      <c r="J115" s="26" t="n">
        <v>1</v>
      </c>
      <c r="K115" s="20" t="n">
        <v>0.15</v>
      </c>
      <c r="L115" s="20" t="n">
        <v>76.7</v>
      </c>
      <c r="M115" s="20" t="n">
        <v>5.064506</v>
      </c>
      <c r="N115" s="20" t="n">
        <v>1009</v>
      </c>
      <c r="O115" s="29" t="n">
        <v>2.3739871875</v>
      </c>
      <c r="P115" s="29" t="n">
        <v>0.527552708333333</v>
      </c>
      <c r="Q115" s="20" t="n">
        <v>792</v>
      </c>
      <c r="R115" s="20" t="n">
        <v>0.527552708333333</v>
      </c>
      <c r="S115" s="20" t="n">
        <v>792</v>
      </c>
      <c r="U115" s="35"/>
      <c r="V115" s="28" t="n">
        <v>0.217391304347826</v>
      </c>
      <c r="W115" s="29" t="n">
        <f aca="false">D115/C115</f>
        <v>21.25</v>
      </c>
      <c r="X115" s="35"/>
      <c r="Y115" s="30" t="n">
        <v>5.44748037809648</v>
      </c>
      <c r="Z115" s="30" t="n">
        <v>5.44748037809648</v>
      </c>
      <c r="AA115" s="30" t="n">
        <v>43.1774723150261</v>
      </c>
      <c r="AB115" s="30" t="n">
        <v>66.6243357757497</v>
      </c>
      <c r="AD115" s="28" t="n">
        <v>1159</v>
      </c>
      <c r="AE115" s="30" t="n">
        <f aca="false">AD115*1000/C115/D115*145.038/SQRT(145.038*L115)</f>
        <v>11.7189242447222</v>
      </c>
      <c r="AF115" s="32" t="n">
        <f aca="false">AD115*1000/C115/D115</f>
        <v>8.52205882352941</v>
      </c>
    </row>
    <row r="116" customFormat="false" ht="25.5" hidden="false" customHeight="true" outlineLevel="0" collapsed="false">
      <c r="A116" s="33"/>
      <c r="B116" s="34" t="s">
        <v>162</v>
      </c>
      <c r="C116" s="26" t="n">
        <v>80</v>
      </c>
      <c r="D116" s="26" t="n">
        <v>1700</v>
      </c>
      <c r="E116" s="26" t="n">
        <v>2000</v>
      </c>
      <c r="F116" s="20" t="n">
        <v>1.33</v>
      </c>
      <c r="G116" s="20" t="n">
        <v>1.17647058823529</v>
      </c>
      <c r="H116" s="26" t="n">
        <v>2</v>
      </c>
      <c r="I116" s="26" t="n">
        <v>1</v>
      </c>
      <c r="J116" s="26" t="n">
        <v>1</v>
      </c>
      <c r="K116" s="20" t="n">
        <v>0.16</v>
      </c>
      <c r="L116" s="20" t="n">
        <v>74.1</v>
      </c>
      <c r="M116" s="20" t="n">
        <v>5.064506</v>
      </c>
      <c r="N116" s="20" t="n">
        <v>1009</v>
      </c>
      <c r="O116" s="29" t="n">
        <v>2.3739871875</v>
      </c>
      <c r="P116" s="29" t="n">
        <v>0.648630379098361</v>
      </c>
      <c r="Q116" s="20" t="n">
        <v>1420</v>
      </c>
      <c r="R116" s="20" t="n">
        <v>0.648630379098361</v>
      </c>
      <c r="S116" s="20" t="n">
        <v>1420</v>
      </c>
      <c r="U116" s="35"/>
      <c r="V116" s="28" t="n">
        <v>0.217391304347826</v>
      </c>
      <c r="W116" s="29" t="n">
        <f aca="false">D116/C116</f>
        <v>21.25</v>
      </c>
      <c r="X116" s="35"/>
      <c r="Y116" s="30" t="n">
        <v>12.429893904449</v>
      </c>
      <c r="Z116" s="30" t="n">
        <v>12.429893904449</v>
      </c>
      <c r="AA116" s="30" t="n">
        <v>44.6924713436235</v>
      </c>
      <c r="AB116" s="30" t="n">
        <v>68.9620317678812</v>
      </c>
      <c r="AD116" s="28" t="n">
        <v>1412</v>
      </c>
      <c r="AE116" s="30" t="n">
        <f aca="false">AD116*1000/C116/D116*145.038/SQRT(145.038*L116)</f>
        <v>14.5253827671773</v>
      </c>
      <c r="AF116" s="32" t="n">
        <f aca="false">AD116*1000/C116/D116</f>
        <v>10.3823529411765</v>
      </c>
    </row>
    <row r="117" customFormat="false" ht="25.5" hidden="false" customHeight="true" outlineLevel="0" collapsed="false">
      <c r="A117" s="33"/>
      <c r="B117" s="34" t="s">
        <v>163</v>
      </c>
      <c r="C117" s="26" t="n">
        <v>80</v>
      </c>
      <c r="D117" s="26" t="n">
        <v>1700</v>
      </c>
      <c r="E117" s="26" t="n">
        <v>2000</v>
      </c>
      <c r="F117" s="20" t="n">
        <v>1.33</v>
      </c>
      <c r="G117" s="20" t="n">
        <v>1.17647058823529</v>
      </c>
      <c r="H117" s="26" t="n">
        <v>2</v>
      </c>
      <c r="I117" s="26" t="n">
        <v>1</v>
      </c>
      <c r="J117" s="26" t="n">
        <v>1</v>
      </c>
      <c r="K117" s="20" t="n">
        <v>0.16</v>
      </c>
      <c r="L117" s="20" t="n">
        <v>71.5</v>
      </c>
      <c r="M117" s="20" t="n">
        <v>5.064506</v>
      </c>
      <c r="N117" s="20" t="n">
        <v>1009</v>
      </c>
      <c r="O117" s="29" t="n">
        <v>2.3739871875</v>
      </c>
      <c r="P117" s="29" t="n">
        <v>0.989161328125</v>
      </c>
      <c r="Q117" s="20" t="n">
        <v>792</v>
      </c>
      <c r="R117" s="20" t="n">
        <v>0.989161328125</v>
      </c>
      <c r="S117" s="20" t="n">
        <v>792</v>
      </c>
      <c r="U117" s="35"/>
      <c r="V117" s="28" t="n">
        <v>0.217391304347826</v>
      </c>
      <c r="W117" s="29" t="n">
        <f aca="false">D117/C117</f>
        <v>21.25</v>
      </c>
      <c r="X117" s="35"/>
      <c r="Y117" s="30" t="n">
        <v>10.9568639423077</v>
      </c>
      <c r="Z117" s="30" t="n">
        <v>10.9568639423077</v>
      </c>
      <c r="AA117" s="30" t="n">
        <v>46.3176521197552</v>
      </c>
      <c r="AB117" s="30" t="n">
        <v>71.469742013986</v>
      </c>
      <c r="AD117" s="28" t="n">
        <v>1499</v>
      </c>
      <c r="AE117" s="30" t="n">
        <f aca="false">AD117*1000/C117/D117*145.038/SQRT(145.038*L117)</f>
        <v>15.6982270000264</v>
      </c>
      <c r="AF117" s="32" t="n">
        <f aca="false">AD117*1000/C117/D117</f>
        <v>11.0220588235294</v>
      </c>
    </row>
    <row r="118" customFormat="false" ht="25.5" hidden="false" customHeight="true" outlineLevel="0" collapsed="false">
      <c r="A118" s="33"/>
      <c r="B118" s="34" t="s">
        <v>164</v>
      </c>
      <c r="C118" s="26" t="n">
        <v>80</v>
      </c>
      <c r="D118" s="26" t="n">
        <v>1700</v>
      </c>
      <c r="E118" s="26" t="n">
        <v>2000</v>
      </c>
      <c r="F118" s="20" t="n">
        <v>1.33</v>
      </c>
      <c r="G118" s="20" t="n">
        <v>1.17647058823529</v>
      </c>
      <c r="H118" s="26" t="n">
        <v>2</v>
      </c>
      <c r="I118" s="26" t="n">
        <v>1</v>
      </c>
      <c r="J118" s="26" t="n">
        <v>1</v>
      </c>
      <c r="K118" s="20" t="n">
        <v>0.15</v>
      </c>
      <c r="L118" s="20" t="n">
        <v>76.1</v>
      </c>
      <c r="M118" s="20" t="n">
        <v>5.064506</v>
      </c>
      <c r="N118" s="20" t="n">
        <v>1009</v>
      </c>
      <c r="O118" s="29" t="n">
        <v>2.3739871875</v>
      </c>
      <c r="P118" s="29" t="n">
        <v>1.43878011363636</v>
      </c>
      <c r="Q118" s="20" t="n">
        <v>792</v>
      </c>
      <c r="R118" s="20" t="n">
        <v>1.43878011363636</v>
      </c>
      <c r="S118" s="20" t="n">
        <v>792</v>
      </c>
      <c r="U118" s="35"/>
      <c r="V118" s="28" t="n">
        <v>0.217391304347826</v>
      </c>
      <c r="W118" s="29" t="n">
        <f aca="false">D118/C118</f>
        <v>21.25</v>
      </c>
      <c r="X118" s="35"/>
      <c r="Y118" s="30" t="n">
        <v>14.9739007884363</v>
      </c>
      <c r="Z118" s="30" t="n">
        <v>14.9739007884363</v>
      </c>
      <c r="AA118" s="30" t="n">
        <v>43.5178991663929</v>
      </c>
      <c r="AB118" s="30" t="n">
        <v>67.1496262023653</v>
      </c>
      <c r="AD118" s="28" t="n">
        <v>1639</v>
      </c>
      <c r="AE118" s="30" t="n">
        <f aca="false">AD118*1000/C118/D118*145.038/SQRT(145.038*L118)</f>
        <v>16.6375210527521</v>
      </c>
      <c r="AF118" s="32" t="n">
        <f aca="false">AD118*1000/C118/D118</f>
        <v>12.0514705882353</v>
      </c>
    </row>
    <row r="119" customFormat="false" ht="25.5" hidden="false" customHeight="true" outlineLevel="0" collapsed="false">
      <c r="A119" s="33"/>
      <c r="B119" s="34" t="s">
        <v>165</v>
      </c>
      <c r="C119" s="26" t="n">
        <v>85</v>
      </c>
      <c r="D119" s="26" t="n">
        <v>1900</v>
      </c>
      <c r="E119" s="26" t="n">
        <v>2700</v>
      </c>
      <c r="F119" s="20" t="n">
        <v>1.8</v>
      </c>
      <c r="G119" s="20" t="n">
        <v>1.42105263157895</v>
      </c>
      <c r="H119" s="26" t="n">
        <v>2</v>
      </c>
      <c r="I119" s="26" t="n">
        <v>1</v>
      </c>
      <c r="J119" s="26" t="n">
        <v>1</v>
      </c>
      <c r="K119" s="20" t="n">
        <v>0.14</v>
      </c>
      <c r="L119" s="20" t="n">
        <v>62.3</v>
      </c>
      <c r="M119" s="20" t="n">
        <v>3.7983795</v>
      </c>
      <c r="N119" s="20" t="n">
        <v>360</v>
      </c>
      <c r="O119" s="29" t="n">
        <v>0.905769230769231</v>
      </c>
      <c r="P119" s="29" t="n">
        <v>1.14581583710407</v>
      </c>
      <c r="Q119" s="20" t="n">
        <v>413</v>
      </c>
      <c r="R119" s="20" t="n">
        <v>1.14581583710407</v>
      </c>
      <c r="S119" s="20" t="n">
        <v>413</v>
      </c>
      <c r="U119" s="35"/>
      <c r="V119" s="28" t="n">
        <v>0.192771084337349</v>
      </c>
      <c r="W119" s="29" t="n">
        <f aca="false">D119/C119</f>
        <v>22.3529411764706</v>
      </c>
      <c r="X119" s="35"/>
      <c r="Y119" s="30" t="n">
        <v>7.59585779653262</v>
      </c>
      <c r="Z119" s="30" t="n">
        <v>7.59585779653262</v>
      </c>
      <c r="AA119" s="30" t="n">
        <v>13.419341894061</v>
      </c>
      <c r="AB119" s="30" t="n">
        <v>21.9489024077047</v>
      </c>
      <c r="AD119" s="28" t="n">
        <v>966.43525</v>
      </c>
      <c r="AE119" s="30" t="n">
        <f aca="false">AD119*1000/C119/D119*145.038/SQRT(145.038*L119)</f>
        <v>9.13055366413682</v>
      </c>
      <c r="AF119" s="32" t="n">
        <f aca="false">AD119*1000/C119/D119</f>
        <v>5.98411919504644</v>
      </c>
    </row>
    <row r="120" customFormat="false" ht="25.5" hidden="false" customHeight="true" outlineLevel="0" collapsed="false">
      <c r="A120" s="33"/>
      <c r="B120" s="34" t="s">
        <v>166</v>
      </c>
      <c r="C120" s="26" t="n">
        <v>85</v>
      </c>
      <c r="D120" s="26" t="n">
        <v>1900</v>
      </c>
      <c r="E120" s="26" t="n">
        <v>2700</v>
      </c>
      <c r="F120" s="20" t="n">
        <v>1.8</v>
      </c>
      <c r="G120" s="20" t="n">
        <v>1.42105263157895</v>
      </c>
      <c r="H120" s="26" t="n">
        <v>2</v>
      </c>
      <c r="I120" s="26" t="n">
        <v>1</v>
      </c>
      <c r="J120" s="26" t="n">
        <v>1</v>
      </c>
      <c r="K120" s="20" t="n">
        <v>0.14</v>
      </c>
      <c r="L120" s="20" t="n">
        <v>62.3</v>
      </c>
      <c r="M120" s="20" t="n">
        <v>3.7983795</v>
      </c>
      <c r="N120" s="20" t="n">
        <v>360</v>
      </c>
      <c r="O120" s="29" t="n">
        <v>0.905769230769231</v>
      </c>
      <c r="P120" s="29" t="n">
        <v>1.65506732026144</v>
      </c>
      <c r="Q120" s="20" t="n">
        <v>413</v>
      </c>
      <c r="R120" s="20" t="n">
        <v>1.65506732026144</v>
      </c>
      <c r="S120" s="20" t="n">
        <v>413</v>
      </c>
      <c r="U120" s="35"/>
      <c r="V120" s="28" t="n">
        <v>0.192771084337349</v>
      </c>
      <c r="W120" s="29" t="n">
        <f aca="false">D120/C120</f>
        <v>22.3529411764706</v>
      </c>
      <c r="X120" s="35"/>
      <c r="Y120" s="30" t="n">
        <v>10.9717945949916</v>
      </c>
      <c r="Z120" s="30" t="n">
        <v>10.9717945949916</v>
      </c>
      <c r="AA120" s="30" t="n">
        <v>13.419341894061</v>
      </c>
      <c r="AB120" s="30" t="n">
        <v>21.9489024077047</v>
      </c>
      <c r="AD120" s="28" t="n">
        <v>957.52175</v>
      </c>
      <c r="AE120" s="30" t="n">
        <f aca="false">AD120*1000/C120/D120*145.038/SQRT(145.038*L120)</f>
        <v>9.04634192818733</v>
      </c>
      <c r="AF120" s="32" t="n">
        <f aca="false">AD120*1000/C120/D120</f>
        <v>5.92892724458204</v>
      </c>
    </row>
    <row r="121" customFormat="false" ht="25.5" hidden="false" customHeight="true" outlineLevel="0" collapsed="false">
      <c r="A121" s="33"/>
      <c r="B121" s="34" t="s">
        <v>167</v>
      </c>
      <c r="C121" s="26" t="n">
        <v>85</v>
      </c>
      <c r="D121" s="26" t="n">
        <v>1900</v>
      </c>
      <c r="E121" s="26" t="n">
        <v>2700</v>
      </c>
      <c r="F121" s="20" t="n">
        <v>1.2</v>
      </c>
      <c r="G121" s="20" t="n">
        <v>1.42105263157895</v>
      </c>
      <c r="H121" s="26" t="n">
        <v>2</v>
      </c>
      <c r="I121" s="26" t="n">
        <v>1</v>
      </c>
      <c r="J121" s="26" t="n">
        <v>1</v>
      </c>
      <c r="K121" s="20" t="n">
        <v>0.14</v>
      </c>
      <c r="L121" s="20" t="n">
        <v>62.3</v>
      </c>
      <c r="M121" s="20" t="n">
        <v>3.7983795</v>
      </c>
      <c r="N121" s="20" t="n">
        <v>360</v>
      </c>
      <c r="O121" s="29" t="n">
        <v>0.905769230769231</v>
      </c>
      <c r="P121" s="29" t="n">
        <v>1.14581583710407</v>
      </c>
      <c r="Q121" s="20" t="n">
        <v>413</v>
      </c>
      <c r="R121" s="20" t="n">
        <v>1.14581583710407</v>
      </c>
      <c r="S121" s="20" t="n">
        <v>413</v>
      </c>
      <c r="U121" s="35"/>
      <c r="V121" s="28" t="n">
        <v>0.192771084337349</v>
      </c>
      <c r="W121" s="29" t="n">
        <f aca="false">D121/C121</f>
        <v>22.3529411764706</v>
      </c>
      <c r="X121" s="35"/>
      <c r="Y121" s="30" t="n">
        <v>7.59585779653262</v>
      </c>
      <c r="Z121" s="30" t="n">
        <v>7.59585779653262</v>
      </c>
      <c r="AA121" s="30" t="n">
        <v>13.419341894061</v>
      </c>
      <c r="AB121" s="30" t="n">
        <v>21.9489024077047</v>
      </c>
      <c r="AD121" s="28" t="n">
        <v>1280.43515</v>
      </c>
      <c r="AE121" s="30" t="n">
        <f aca="false">AD121*1000/C121/D121*145.038/SQRT(145.038*L121)</f>
        <v>12.09711861247</v>
      </c>
      <c r="AF121" s="32" t="n">
        <f aca="false">AD121*1000/C121/D121</f>
        <v>7.92839102167183</v>
      </c>
    </row>
    <row r="122" customFormat="false" ht="25.5" hidden="false" customHeight="true" outlineLevel="0" collapsed="false">
      <c r="A122" s="33"/>
      <c r="B122" s="25" t="s">
        <v>168</v>
      </c>
      <c r="C122" s="26" t="n">
        <v>80</v>
      </c>
      <c r="D122" s="26" t="n">
        <v>2180</v>
      </c>
      <c r="E122" s="26" t="n">
        <v>1100</v>
      </c>
      <c r="F122" s="20" t="n">
        <v>0.6</v>
      </c>
      <c r="G122" s="20" t="n">
        <v>0.504587155963303</v>
      </c>
      <c r="H122" s="26" t="n">
        <v>2</v>
      </c>
      <c r="I122" s="26" t="n">
        <v>1</v>
      </c>
      <c r="J122" s="26" t="n">
        <v>1</v>
      </c>
      <c r="K122" s="20" t="n">
        <v>0.04</v>
      </c>
      <c r="L122" s="20" t="n">
        <v>58.3</v>
      </c>
      <c r="M122" s="20" t="n">
        <v>7.8</v>
      </c>
      <c r="N122" s="20" t="n">
        <v>389</v>
      </c>
      <c r="O122" s="29" t="n">
        <v>0.131645671641791</v>
      </c>
      <c r="P122" s="29" t="n">
        <v>1.18108815298508</v>
      </c>
      <c r="Q122" s="20" t="n">
        <v>321</v>
      </c>
      <c r="R122" s="20" t="n">
        <v>1.18108815298508</v>
      </c>
      <c r="S122" s="20" t="n">
        <v>321</v>
      </c>
      <c r="U122" s="35"/>
      <c r="V122" s="28" t="n">
        <v>0.153992395437262</v>
      </c>
      <c r="W122" s="29" t="n">
        <f aca="false">D122/C122</f>
        <v>27.25</v>
      </c>
      <c r="X122" s="35"/>
      <c r="Y122" s="30" t="n">
        <v>6.50307542209621</v>
      </c>
      <c r="Z122" s="30" t="n">
        <v>6.50307542209621</v>
      </c>
      <c r="AA122" s="30" t="n">
        <v>0.724841519674356</v>
      </c>
      <c r="AB122" s="30" t="n">
        <v>52.0445969125214</v>
      </c>
      <c r="AD122" s="28" t="n">
        <v>1487.5</v>
      </c>
      <c r="AE122" s="30" t="n">
        <f aca="false">AD122*1000/C122/D122*145.038/SQRT(145.038*L122)</f>
        <v>13.4529372861519</v>
      </c>
      <c r="AF122" s="32" t="n">
        <f aca="false">AD122*1000/C122/D122</f>
        <v>8.52924311926606</v>
      </c>
    </row>
    <row r="123" customFormat="false" ht="25.5" hidden="false" customHeight="true" outlineLevel="0" collapsed="false">
      <c r="A123" s="33"/>
      <c r="B123" s="25" t="s">
        <v>169</v>
      </c>
      <c r="C123" s="26" t="n">
        <v>80</v>
      </c>
      <c r="D123" s="26" t="n">
        <v>2180</v>
      </c>
      <c r="E123" s="26" t="n">
        <v>1100</v>
      </c>
      <c r="F123" s="20" t="n">
        <v>0.6</v>
      </c>
      <c r="G123" s="20" t="n">
        <v>0.504587155963303</v>
      </c>
      <c r="H123" s="26" t="n">
        <v>2</v>
      </c>
      <c r="I123" s="26" t="n">
        <v>1</v>
      </c>
      <c r="J123" s="26" t="n">
        <v>1</v>
      </c>
      <c r="K123" s="20" t="n">
        <v>0.04</v>
      </c>
      <c r="L123" s="20" t="n">
        <v>58.1</v>
      </c>
      <c r="M123" s="20" t="n">
        <v>7.8</v>
      </c>
      <c r="N123" s="20" t="n">
        <v>389</v>
      </c>
      <c r="O123" s="29" t="n">
        <v>0.131645671641791</v>
      </c>
      <c r="P123" s="29" t="n">
        <v>1.97832265625</v>
      </c>
      <c r="Q123" s="20" t="n">
        <v>321</v>
      </c>
      <c r="R123" s="20" t="n">
        <v>1.97832265625</v>
      </c>
      <c r="S123" s="20" t="n">
        <v>321</v>
      </c>
      <c r="U123" s="35"/>
      <c r="V123" s="28" t="n">
        <v>0.153992395437262</v>
      </c>
      <c r="W123" s="29" t="n">
        <f aca="false">D123/C123</f>
        <v>27.25</v>
      </c>
      <c r="X123" s="35"/>
      <c r="Y123" s="30" t="n">
        <v>10.9301475500215</v>
      </c>
      <c r="Z123" s="30" t="n">
        <v>10.9301475500215</v>
      </c>
      <c r="AA123" s="30" t="n">
        <v>0.727336671205076</v>
      </c>
      <c r="AB123" s="30" t="n">
        <v>52.223752151463</v>
      </c>
      <c r="AD123" s="28" t="n">
        <v>1694.45</v>
      </c>
      <c r="AE123" s="30" t="n">
        <f aca="false">AD123*1000/C123/D123*145.038/SQRT(145.038*L123)</f>
        <v>15.350944890218</v>
      </c>
      <c r="AF123" s="32" t="n">
        <f aca="false">AD123*1000/C123/D123</f>
        <v>9.71588302752294</v>
      </c>
    </row>
    <row r="124" customFormat="false" ht="25.5" hidden="false" customHeight="true" outlineLevel="0" collapsed="false">
      <c r="A124" s="33"/>
      <c r="B124" s="34" t="s">
        <v>170</v>
      </c>
      <c r="C124" s="26" t="n">
        <v>120</v>
      </c>
      <c r="D124" s="26" t="n">
        <v>1720</v>
      </c>
      <c r="E124" s="26" t="n">
        <v>1080</v>
      </c>
      <c r="F124" s="20" t="n">
        <v>0.8</v>
      </c>
      <c r="G124" s="20" t="n">
        <v>0.627906976744186</v>
      </c>
      <c r="H124" s="26" t="n">
        <v>2</v>
      </c>
      <c r="I124" s="26" t="n">
        <v>1</v>
      </c>
      <c r="J124" s="26" t="n">
        <v>2</v>
      </c>
      <c r="K124" s="20" t="n">
        <v>0.04</v>
      </c>
      <c r="L124" s="20" t="n">
        <v>82.3</v>
      </c>
      <c r="M124" s="20" t="n">
        <v>1.18824010833333</v>
      </c>
      <c r="N124" s="20" t="n">
        <v>560</v>
      </c>
      <c r="O124" s="29" t="n">
        <v>0.17823601625</v>
      </c>
      <c r="P124" s="29" t="n">
        <v>1.18824010833333</v>
      </c>
      <c r="Q124" s="20" t="n">
        <v>560</v>
      </c>
      <c r="R124" s="20" t="n">
        <v>1.18824010833333</v>
      </c>
      <c r="S124" s="20" t="n">
        <v>560</v>
      </c>
      <c r="U124" s="35"/>
      <c r="V124" s="28" t="n">
        <v>0.25974025974026</v>
      </c>
      <c r="W124" s="29" t="n">
        <f aca="false">D124/C124</f>
        <v>14.3333333333333</v>
      </c>
      <c r="X124" s="35"/>
      <c r="Y124" s="30" t="n">
        <v>8.08523038477116</v>
      </c>
      <c r="Z124" s="30" t="n">
        <v>8.08523038477116</v>
      </c>
      <c r="AA124" s="30" t="n">
        <v>1.21278455771567</v>
      </c>
      <c r="AB124" s="30" t="n">
        <v>8.08523038477116</v>
      </c>
      <c r="AD124" s="28" t="n">
        <v>2080.67645</v>
      </c>
      <c r="AE124" s="30" t="n">
        <f aca="false">AD124*1000/C124/D124*145.038/SQRT(145.038*L124)</f>
        <v>13.3824565599648</v>
      </c>
      <c r="AF124" s="32" t="n">
        <f aca="false">AD124*1000/C124/D124</f>
        <v>10.080796753876</v>
      </c>
    </row>
    <row r="125" customFormat="false" ht="25.5" hidden="false" customHeight="true" outlineLevel="0" collapsed="false">
      <c r="A125" s="33"/>
      <c r="B125" s="25" t="s">
        <v>171</v>
      </c>
      <c r="C125" s="26" t="n">
        <v>75</v>
      </c>
      <c r="D125" s="26" t="n">
        <v>2700</v>
      </c>
      <c r="E125" s="26" t="n">
        <v>1400</v>
      </c>
      <c r="F125" s="20" t="n">
        <v>0.65</v>
      </c>
      <c r="G125" s="20" t="n">
        <v>0.518518518518519</v>
      </c>
      <c r="H125" s="26" t="n">
        <v>2</v>
      </c>
      <c r="I125" s="26" t="n">
        <v>1</v>
      </c>
      <c r="J125" s="26" t="n">
        <v>1</v>
      </c>
      <c r="K125" s="20" t="n">
        <v>0</v>
      </c>
      <c r="L125" s="20" t="n">
        <v>83.3</v>
      </c>
      <c r="M125" s="20" t="n">
        <v>5.46966648</v>
      </c>
      <c r="N125" s="20" t="n">
        <v>393</v>
      </c>
      <c r="O125" s="29" t="n">
        <v>0.5064506</v>
      </c>
      <c r="P125" s="29" t="n">
        <v>0.562722888888889</v>
      </c>
      <c r="Q125" s="20" t="n">
        <v>369</v>
      </c>
      <c r="R125" s="20" t="n">
        <v>0.562722888888889</v>
      </c>
      <c r="S125" s="20" t="n">
        <v>369</v>
      </c>
      <c r="U125" s="35"/>
      <c r="V125" s="28" t="n">
        <v>0.21551724137931</v>
      </c>
      <c r="W125" s="29" t="n">
        <f aca="false">D125/C125</f>
        <v>36</v>
      </c>
      <c r="X125" s="35"/>
      <c r="Y125" s="30" t="n">
        <v>2.49273404561825</v>
      </c>
      <c r="Z125" s="30" t="n">
        <v>2.49273404561825</v>
      </c>
      <c r="AA125" s="30" t="n">
        <v>2.24346064105642</v>
      </c>
      <c r="AB125" s="30" t="n">
        <v>25.805269227371</v>
      </c>
      <c r="AD125" s="28" t="n">
        <v>2044.795</v>
      </c>
      <c r="AE125" s="30" t="n">
        <f aca="false">AD125*1000/C125/D125*145.038/SQRT(145.038*L125)</f>
        <v>13.3242614995885</v>
      </c>
      <c r="AF125" s="32" t="n">
        <f aca="false">AD125*1000/C125/D125</f>
        <v>10.0977530864198</v>
      </c>
    </row>
    <row r="126" customFormat="false" ht="25.5" hidden="false" customHeight="true" outlineLevel="0" collapsed="false">
      <c r="A126" s="42" t="s">
        <v>172</v>
      </c>
      <c r="B126" s="34" t="s">
        <v>173</v>
      </c>
      <c r="C126" s="26" t="n">
        <v>80</v>
      </c>
      <c r="D126" s="26" t="n">
        <v>1400</v>
      </c>
      <c r="E126" s="26" t="n">
        <v>1700</v>
      </c>
      <c r="F126" s="20" t="n">
        <v>2</v>
      </c>
      <c r="G126" s="20" t="n">
        <v>1.21428571428571</v>
      </c>
      <c r="H126" s="26" t="n">
        <v>2</v>
      </c>
      <c r="I126" s="26" t="n">
        <v>2</v>
      </c>
      <c r="J126" s="26" t="n">
        <v>1</v>
      </c>
      <c r="K126" s="20" t="n">
        <v>0.22</v>
      </c>
      <c r="L126" s="20" t="n">
        <v>72.7</v>
      </c>
      <c r="M126" s="20" t="n">
        <v>2.355</v>
      </c>
      <c r="N126" s="20" t="n">
        <v>580</v>
      </c>
      <c r="O126" s="20" t="n">
        <v>1.1304</v>
      </c>
      <c r="P126" s="20" t="n">
        <v>1.1775</v>
      </c>
      <c r="Q126" s="20" t="n">
        <v>849</v>
      </c>
      <c r="R126" s="20" t="n">
        <v>1.1775</v>
      </c>
      <c r="S126" s="20" t="n">
        <v>852</v>
      </c>
      <c r="U126" s="35"/>
      <c r="V126" s="28" t="n">
        <v>0.25</v>
      </c>
      <c r="W126" s="29" t="n">
        <f aca="false">D126/C126</f>
        <v>17.5</v>
      </c>
      <c r="X126" s="35"/>
      <c r="Y126" s="30" t="n">
        <v>13.7995873452545</v>
      </c>
      <c r="Z126" s="30" t="n">
        <v>13.7509972489684</v>
      </c>
      <c r="AA126" s="30" t="n">
        <v>5.98629986244842</v>
      </c>
      <c r="AB126" s="30" t="n">
        <v>18.7881705639615</v>
      </c>
      <c r="AD126" s="39" t="n">
        <v>883</v>
      </c>
      <c r="AE126" s="30" t="n">
        <f aca="false">AD126*1000/C126/D126*145.038/SQRT(145.038*L126)</f>
        <v>11.1356706239633</v>
      </c>
      <c r="AF126" s="32" t="n">
        <f aca="false">AD126*1000/C126/D126</f>
        <v>7.88392857142857</v>
      </c>
    </row>
    <row r="127" customFormat="false" ht="25.5" hidden="false" customHeight="true" outlineLevel="0" collapsed="false">
      <c r="A127" s="42"/>
      <c r="B127" s="25" t="s">
        <v>174</v>
      </c>
      <c r="C127" s="26" t="n">
        <v>80</v>
      </c>
      <c r="D127" s="13" t="n">
        <v>1400</v>
      </c>
      <c r="E127" s="13" t="n">
        <v>2400</v>
      </c>
      <c r="F127" s="13" t="n">
        <v>1.71</v>
      </c>
      <c r="G127" s="20" t="n">
        <v>1.71428571428571</v>
      </c>
      <c r="H127" s="26" t="n">
        <v>2</v>
      </c>
      <c r="I127" s="26" t="n">
        <v>2</v>
      </c>
      <c r="J127" s="26" t="n">
        <v>1</v>
      </c>
      <c r="K127" s="20" t="n">
        <v>0.261020881670534</v>
      </c>
      <c r="L127" s="20" t="n">
        <v>43.1</v>
      </c>
      <c r="M127" s="20" t="n">
        <v>2.355</v>
      </c>
      <c r="N127" s="20" t="n">
        <v>580</v>
      </c>
      <c r="O127" s="20" t="n">
        <v>1.1304</v>
      </c>
      <c r="P127" s="20" t="n">
        <v>1.1775</v>
      </c>
      <c r="Q127" s="20" t="n">
        <v>849</v>
      </c>
      <c r="R127" s="20" t="n">
        <v>1.1775</v>
      </c>
      <c r="S127" s="20" t="n">
        <v>852</v>
      </c>
      <c r="U127" s="27"/>
      <c r="V127" s="28" t="n">
        <v>0.25</v>
      </c>
      <c r="W127" s="29" t="n">
        <f aca="false">D127/C127</f>
        <v>17.5</v>
      </c>
      <c r="X127" s="13"/>
      <c r="Y127" s="30" t="n">
        <v>23.2767981438515</v>
      </c>
      <c r="Z127" s="30" t="n">
        <v>23.194837587007</v>
      </c>
      <c r="AA127" s="30" t="n">
        <v>10.0975406032483</v>
      </c>
      <c r="AB127" s="30" t="n">
        <v>31.6914153132251</v>
      </c>
      <c r="AD127" s="39" t="n">
        <v>772.656675</v>
      </c>
      <c r="AE127" s="30" t="n">
        <f aca="false">AD127*1000/C127/D127*145.038/SQRT(145.038*L127)</f>
        <v>12.6552521966752</v>
      </c>
      <c r="AF127" s="32" t="n">
        <f aca="false">AD127*1000/C127/D127</f>
        <v>6.8987203125</v>
      </c>
    </row>
    <row r="128" customFormat="false" ht="25.5" hidden="false" customHeight="true" outlineLevel="0" collapsed="false">
      <c r="A128" s="42"/>
      <c r="B128" s="25" t="s">
        <v>175</v>
      </c>
      <c r="C128" s="26" t="n">
        <v>80</v>
      </c>
      <c r="D128" s="13" t="n">
        <v>1400</v>
      </c>
      <c r="E128" s="13" t="n">
        <v>2400</v>
      </c>
      <c r="F128" s="13" t="n">
        <v>1.71</v>
      </c>
      <c r="G128" s="20" t="n">
        <v>1.71428571428571</v>
      </c>
      <c r="H128" s="26" t="n">
        <v>2</v>
      </c>
      <c r="I128" s="26" t="n">
        <v>2</v>
      </c>
      <c r="J128" s="26" t="n">
        <v>1</v>
      </c>
      <c r="K128" s="20" t="n">
        <v>0.22</v>
      </c>
      <c r="L128" s="20" t="n">
        <v>42.5</v>
      </c>
      <c r="M128" s="20" t="n">
        <v>2.355</v>
      </c>
      <c r="N128" s="20" t="n">
        <v>580</v>
      </c>
      <c r="O128" s="20" t="n">
        <v>1.61485714285714</v>
      </c>
      <c r="P128" s="20" t="n">
        <v>1.1775</v>
      </c>
      <c r="Q128" s="20" t="n">
        <v>849</v>
      </c>
      <c r="R128" s="20" t="n">
        <v>1.1775</v>
      </c>
      <c r="S128" s="20" t="n">
        <v>852</v>
      </c>
      <c r="U128" s="27"/>
      <c r="V128" s="28" t="n">
        <v>0.25</v>
      </c>
      <c r="W128" s="29" t="n">
        <f aca="false">D128/C128</f>
        <v>17.5</v>
      </c>
      <c r="X128" s="13"/>
      <c r="Y128" s="30" t="n">
        <v>23.6054117647059</v>
      </c>
      <c r="Z128" s="30" t="n">
        <v>23.5222941176471</v>
      </c>
      <c r="AA128" s="30" t="n">
        <v>14.6287058823529</v>
      </c>
      <c r="AB128" s="30" t="n">
        <v>32.1388235294118</v>
      </c>
      <c r="AD128" s="39" t="n">
        <v>748.067625</v>
      </c>
      <c r="AE128" s="30" t="n">
        <f aca="false">AD128*1000/C128/D128*145.038/SQRT(145.038*L128)</f>
        <v>12.3386962544681</v>
      </c>
      <c r="AF128" s="32" t="n">
        <f aca="false">AD128*1000/C128/D128</f>
        <v>6.67917522321429</v>
      </c>
    </row>
    <row r="129" customFormat="false" ht="25.5" hidden="false" customHeight="true" outlineLevel="0" collapsed="false">
      <c r="A129" s="33" t="s">
        <v>176</v>
      </c>
      <c r="B129" s="34" t="s">
        <v>177</v>
      </c>
      <c r="C129" s="26" t="n">
        <v>100</v>
      </c>
      <c r="D129" s="26" t="n">
        <v>1200</v>
      </c>
      <c r="E129" s="26" t="n">
        <v>1200</v>
      </c>
      <c r="F129" s="20" t="n">
        <v>1</v>
      </c>
      <c r="G129" s="20" t="n">
        <v>1</v>
      </c>
      <c r="H129" s="26" t="n">
        <v>1</v>
      </c>
      <c r="I129" s="26" t="n">
        <v>2</v>
      </c>
      <c r="J129" s="26" t="n">
        <v>1</v>
      </c>
      <c r="K129" s="20" t="n">
        <v>0.1</v>
      </c>
      <c r="L129" s="20" t="n">
        <v>28</v>
      </c>
      <c r="M129" s="20" t="n">
        <v>0</v>
      </c>
      <c r="N129" s="20" t="n">
        <v>0</v>
      </c>
      <c r="O129" s="20" t="n">
        <v>0</v>
      </c>
      <c r="P129" s="20" t="n">
        <v>1.04666666666667</v>
      </c>
      <c r="Q129" s="20" t="n">
        <v>520</v>
      </c>
      <c r="R129" s="20" t="n">
        <v>0.872222222222222</v>
      </c>
      <c r="S129" s="20" t="n">
        <v>520</v>
      </c>
      <c r="U129" s="35"/>
      <c r="V129" s="28" t="n">
        <v>0.366666666666667</v>
      </c>
      <c r="W129" s="29" t="n">
        <f aca="false">D129/C129</f>
        <v>12</v>
      </c>
      <c r="X129" s="35"/>
      <c r="Y129" s="30" t="n">
        <v>16.1984126984127</v>
      </c>
      <c r="Z129" s="30" t="n">
        <v>19.4380952380952</v>
      </c>
      <c r="AA129" s="30" t="n">
        <v>0</v>
      </c>
      <c r="AB129" s="30" t="n">
        <v>0</v>
      </c>
      <c r="AD129" s="28" t="n">
        <v>349.27537367503</v>
      </c>
      <c r="AE129" s="30" t="n">
        <f aca="false">AD129*1000/C129/D129*145.038/SQRT(145.038*L129)</f>
        <v>6.62443137534073</v>
      </c>
      <c r="AF129" s="32" t="n">
        <f aca="false">AD129*1000/C129/D129</f>
        <v>2.91062811395859</v>
      </c>
    </row>
    <row r="130" customFormat="false" ht="25.5" hidden="false" customHeight="true" outlineLevel="0" collapsed="false">
      <c r="A130" s="33"/>
      <c r="B130" s="34" t="s">
        <v>178</v>
      </c>
      <c r="C130" s="26" t="n">
        <v>100</v>
      </c>
      <c r="D130" s="26" t="n">
        <v>1200</v>
      </c>
      <c r="E130" s="26" t="n">
        <v>1200</v>
      </c>
      <c r="F130" s="20" t="n">
        <v>1</v>
      </c>
      <c r="G130" s="20" t="n">
        <v>1</v>
      </c>
      <c r="H130" s="26" t="n">
        <v>1</v>
      </c>
      <c r="I130" s="26" t="n">
        <v>2</v>
      </c>
      <c r="J130" s="26" t="n">
        <v>1</v>
      </c>
      <c r="K130" s="20" t="n">
        <v>0.1</v>
      </c>
      <c r="L130" s="20" t="n">
        <v>29.1</v>
      </c>
      <c r="M130" s="20" t="n">
        <v>1.04666666666667</v>
      </c>
      <c r="N130" s="20" t="n">
        <v>520</v>
      </c>
      <c r="O130" s="20" t="n">
        <v>1.04666666666667</v>
      </c>
      <c r="P130" s="20" t="n">
        <v>1.04666666666667</v>
      </c>
      <c r="Q130" s="20" t="n">
        <v>520</v>
      </c>
      <c r="R130" s="20" t="n">
        <v>0.872222222222222</v>
      </c>
      <c r="S130" s="20" t="n">
        <v>520</v>
      </c>
      <c r="U130" s="35"/>
      <c r="V130" s="28" t="n">
        <v>0.25</v>
      </c>
      <c r="W130" s="29" t="n">
        <f aca="false">D130/C130</f>
        <v>12</v>
      </c>
      <c r="X130" s="35"/>
      <c r="Y130" s="30" t="n">
        <v>15.586101565483</v>
      </c>
      <c r="Z130" s="30" t="n">
        <v>18.7033218785796</v>
      </c>
      <c r="AA130" s="30" t="n">
        <v>18.7033218785796</v>
      </c>
      <c r="AB130" s="30" t="n">
        <v>18.7033218785796</v>
      </c>
      <c r="AD130" s="28" t="n">
        <v>403.039925</v>
      </c>
      <c r="AE130" s="30" t="n">
        <f aca="false">AD130*1000/C130/D130*145.038/SQRT(145.038*L130)</f>
        <v>7.49827268367498</v>
      </c>
      <c r="AF130" s="32" t="n">
        <f aca="false">AD130*1000/C130/D130</f>
        <v>3.35866604166667</v>
      </c>
    </row>
    <row r="131" customFormat="false" ht="25.5" hidden="false" customHeight="true" outlineLevel="0" collapsed="false">
      <c r="A131" s="33"/>
      <c r="B131" s="34" t="s">
        <v>179</v>
      </c>
      <c r="C131" s="26" t="n">
        <v>100</v>
      </c>
      <c r="D131" s="26" t="n">
        <v>1200</v>
      </c>
      <c r="E131" s="26" t="n">
        <v>1200</v>
      </c>
      <c r="F131" s="20" t="n">
        <v>1</v>
      </c>
      <c r="G131" s="20" t="n">
        <v>1</v>
      </c>
      <c r="H131" s="26" t="n">
        <v>1</v>
      </c>
      <c r="I131" s="26" t="n">
        <v>2</v>
      </c>
      <c r="J131" s="26" t="n">
        <v>1</v>
      </c>
      <c r="K131" s="20" t="n">
        <v>0.1</v>
      </c>
      <c r="L131" s="20" t="n">
        <v>31.2</v>
      </c>
      <c r="M131" s="20" t="n">
        <v>1.04666666666667</v>
      </c>
      <c r="N131" s="20" t="n">
        <v>520</v>
      </c>
      <c r="O131" s="20" t="n">
        <v>2.09333333333333</v>
      </c>
      <c r="P131" s="20" t="n">
        <v>1.04666666666667</v>
      </c>
      <c r="Q131" s="20" t="n">
        <v>520</v>
      </c>
      <c r="R131" s="20" t="n">
        <v>0.872222222222222</v>
      </c>
      <c r="S131" s="20" t="n">
        <v>520</v>
      </c>
      <c r="U131" s="35"/>
      <c r="V131" s="28" t="n">
        <v>0.25</v>
      </c>
      <c r="W131" s="29" t="n">
        <f aca="false">D131/C131</f>
        <v>12</v>
      </c>
      <c r="X131" s="35"/>
      <c r="Y131" s="30" t="n">
        <v>14.537037037037</v>
      </c>
      <c r="Z131" s="30" t="n">
        <v>17.4444444444444</v>
      </c>
      <c r="AA131" s="30" t="n">
        <v>34.8888888888889</v>
      </c>
      <c r="AB131" s="30" t="n">
        <v>17.4444444444444</v>
      </c>
      <c r="AD131" s="28" t="n">
        <v>351.40506402</v>
      </c>
      <c r="AE131" s="30" t="n">
        <f aca="false">AD131*1000/C131/D131*145.038/SQRT(145.038*L131)</f>
        <v>6.31379350296016</v>
      </c>
      <c r="AF131" s="32" t="n">
        <f aca="false">AD131*1000/C131/D131</f>
        <v>2.9283755335</v>
      </c>
    </row>
    <row r="132" customFormat="false" ht="25.5" hidden="false" customHeight="true" outlineLevel="0" collapsed="false">
      <c r="A132" s="33"/>
      <c r="B132" s="34" t="s">
        <v>180</v>
      </c>
      <c r="C132" s="26" t="n">
        <v>100</v>
      </c>
      <c r="D132" s="26" t="n">
        <v>1200</v>
      </c>
      <c r="E132" s="26" t="n">
        <v>1200</v>
      </c>
      <c r="F132" s="20" t="n">
        <v>1</v>
      </c>
      <c r="G132" s="20" t="n">
        <v>1</v>
      </c>
      <c r="H132" s="26" t="n">
        <v>1</v>
      </c>
      <c r="I132" s="26" t="n">
        <v>2</v>
      </c>
      <c r="J132" s="26" t="n">
        <v>1</v>
      </c>
      <c r="K132" s="20" t="n">
        <v>0.1</v>
      </c>
      <c r="L132" s="20" t="n">
        <v>32.6</v>
      </c>
      <c r="M132" s="20" t="n">
        <v>1.04666666666667</v>
      </c>
      <c r="N132" s="20" t="n">
        <v>520</v>
      </c>
      <c r="O132" s="20" t="n">
        <v>2.09333333333333</v>
      </c>
      <c r="P132" s="20" t="n">
        <v>1.04666666666667</v>
      </c>
      <c r="Q132" s="20" t="n">
        <v>520</v>
      </c>
      <c r="R132" s="20" t="n">
        <v>0.872222222222222</v>
      </c>
      <c r="S132" s="20" t="n">
        <v>520</v>
      </c>
      <c r="U132" s="35"/>
      <c r="V132" s="28" t="n">
        <v>0.25</v>
      </c>
      <c r="W132" s="29" t="n">
        <f aca="false">D132/C132</f>
        <v>12</v>
      </c>
      <c r="X132" s="35"/>
      <c r="Y132" s="30" t="n">
        <v>13.9127471029312</v>
      </c>
      <c r="Z132" s="30" t="n">
        <v>16.6952965235174</v>
      </c>
      <c r="AA132" s="30" t="n">
        <v>33.3905930470348</v>
      </c>
      <c r="AB132" s="30" t="n">
        <v>16.6952965235174</v>
      </c>
      <c r="AD132" s="28" t="n">
        <v>360.224655</v>
      </c>
      <c r="AE132" s="30" t="n">
        <f aca="false">AD132*1000/C132/D132*145.038/SQRT(145.038*L132)</f>
        <v>6.33175772979436</v>
      </c>
      <c r="AF132" s="32" t="n">
        <f aca="false">AD132*1000/C132/D132</f>
        <v>3.001872125</v>
      </c>
    </row>
    <row r="133" customFormat="false" ht="25.5" hidden="false" customHeight="true" outlineLevel="0" collapsed="false">
      <c r="A133" s="33"/>
      <c r="B133" s="34" t="s">
        <v>181</v>
      </c>
      <c r="C133" s="26" t="n">
        <v>100</v>
      </c>
      <c r="D133" s="26" t="n">
        <v>1200</v>
      </c>
      <c r="E133" s="26" t="n">
        <v>1200</v>
      </c>
      <c r="F133" s="20" t="n">
        <v>1</v>
      </c>
      <c r="G133" s="20" t="n">
        <v>1</v>
      </c>
      <c r="H133" s="26" t="n">
        <v>1</v>
      </c>
      <c r="I133" s="26" t="n">
        <v>2</v>
      </c>
      <c r="J133" s="26" t="n">
        <v>1</v>
      </c>
      <c r="K133" s="20" t="n">
        <v>0.1</v>
      </c>
      <c r="L133" s="20" t="n">
        <v>34.8</v>
      </c>
      <c r="M133" s="20" t="n">
        <v>1.04666666666667</v>
      </c>
      <c r="N133" s="20" t="n">
        <v>520</v>
      </c>
      <c r="O133" s="20" t="n">
        <v>1.04666666666667</v>
      </c>
      <c r="P133" s="20" t="n">
        <v>1.04666666666667</v>
      </c>
      <c r="Q133" s="20" t="n">
        <v>520</v>
      </c>
      <c r="R133" s="20" t="n">
        <v>0.872222222222222</v>
      </c>
      <c r="S133" s="20" t="n">
        <v>520</v>
      </c>
      <c r="U133" s="35"/>
      <c r="V133" s="28" t="n">
        <v>0.25</v>
      </c>
      <c r="W133" s="29" t="n">
        <f aca="false">D133/C133</f>
        <v>12</v>
      </c>
      <c r="X133" s="35"/>
      <c r="Y133" s="30" t="n">
        <v>13.0332056194125</v>
      </c>
      <c r="Z133" s="30" t="n">
        <v>15.639846743295</v>
      </c>
      <c r="AA133" s="30" t="n">
        <v>15.639846743295</v>
      </c>
      <c r="AB133" s="30" t="n">
        <v>15.639846743295</v>
      </c>
      <c r="AD133" s="28" t="n">
        <v>359.745174097323</v>
      </c>
      <c r="AE133" s="30" t="n">
        <f aca="false">AD133*1000/C133/D133*145.038/SQRT(145.038*L133)</f>
        <v>6.12019147886074</v>
      </c>
      <c r="AF133" s="32" t="n">
        <f aca="false">AD133*1000/C133/D133</f>
        <v>2.99787645081102</v>
      </c>
    </row>
    <row r="134" customFormat="false" ht="25.5" hidden="false" customHeight="true" outlineLevel="0" collapsed="false">
      <c r="A134" s="33"/>
      <c r="B134" s="34" t="s">
        <v>182</v>
      </c>
      <c r="C134" s="26" t="n">
        <v>100</v>
      </c>
      <c r="D134" s="26" t="n">
        <v>1200</v>
      </c>
      <c r="E134" s="26" t="n">
        <v>1200</v>
      </c>
      <c r="F134" s="20" t="n">
        <v>1</v>
      </c>
      <c r="G134" s="20" t="n">
        <v>1</v>
      </c>
      <c r="H134" s="26" t="n">
        <v>1</v>
      </c>
      <c r="I134" s="26" t="n">
        <v>2</v>
      </c>
      <c r="J134" s="26" t="n">
        <v>1</v>
      </c>
      <c r="K134" s="20" t="n">
        <v>0.1</v>
      </c>
      <c r="L134" s="20" t="n">
        <v>37.1</v>
      </c>
      <c r="M134" s="20" t="n">
        <v>1.04666666666667</v>
      </c>
      <c r="N134" s="20" t="n">
        <v>520</v>
      </c>
      <c r="O134" s="20" t="n">
        <v>0</v>
      </c>
      <c r="P134" s="20" t="n">
        <v>1.04666666666667</v>
      </c>
      <c r="Q134" s="20" t="n">
        <v>520</v>
      </c>
      <c r="R134" s="20" t="n">
        <v>0.872222222222222</v>
      </c>
      <c r="S134" s="20" t="n">
        <v>520</v>
      </c>
      <c r="U134" s="35"/>
      <c r="V134" s="28" t="n">
        <v>0.25</v>
      </c>
      <c r="W134" s="29" t="n">
        <f aca="false">D134/C134</f>
        <v>12</v>
      </c>
      <c r="X134" s="35"/>
      <c r="Y134" s="30" t="n">
        <v>12.2252171308775</v>
      </c>
      <c r="Z134" s="30" t="n">
        <v>14.670260557053</v>
      </c>
      <c r="AA134" s="30" t="n">
        <v>0</v>
      </c>
      <c r="AB134" s="30" t="n">
        <v>14.670260557053</v>
      </c>
      <c r="AD134" s="28" t="n">
        <v>372.6167368</v>
      </c>
      <c r="AE134" s="30" t="n">
        <f aca="false">AD134*1000/C134/D134*145.038/SQRT(145.038*L134)</f>
        <v>6.13952904865517</v>
      </c>
      <c r="AF134" s="32" t="n">
        <f aca="false">AD134*1000/C134/D134</f>
        <v>3.10513947333333</v>
      </c>
    </row>
    <row r="135" customFormat="false" ht="25.5" hidden="false" customHeight="true" outlineLevel="0" collapsed="false">
      <c r="A135" s="33" t="s">
        <v>183</v>
      </c>
      <c r="B135" s="25" t="s">
        <v>184</v>
      </c>
      <c r="C135" s="26" t="n">
        <v>65</v>
      </c>
      <c r="D135" s="26" t="n">
        <v>650</v>
      </c>
      <c r="E135" s="26" t="n">
        <v>1300</v>
      </c>
      <c r="F135" s="20" t="n">
        <v>2</v>
      </c>
      <c r="G135" s="20" t="n">
        <v>2</v>
      </c>
      <c r="H135" s="26" t="n">
        <v>1</v>
      </c>
      <c r="I135" s="26" t="n">
        <v>2</v>
      </c>
      <c r="J135" s="26" t="n">
        <v>1</v>
      </c>
      <c r="K135" s="20" t="n">
        <v>0</v>
      </c>
      <c r="L135" s="20" t="n">
        <v>29.2</v>
      </c>
      <c r="M135" s="20" t="n">
        <v>3.31252747252747</v>
      </c>
      <c r="N135" s="20" t="n">
        <v>549.9</v>
      </c>
      <c r="O135" s="20" t="n">
        <v>0.336053511705686</v>
      </c>
      <c r="P135" s="20" t="n">
        <v>0.362888313609467</v>
      </c>
      <c r="Q135" s="20" t="n">
        <v>608.4</v>
      </c>
      <c r="R135" s="20" t="n">
        <v>1.54584615384615</v>
      </c>
      <c r="S135" s="20" t="n">
        <v>549.9</v>
      </c>
      <c r="U135" s="35"/>
      <c r="V135" s="28" t="n">
        <v>0.215384615384615</v>
      </c>
      <c r="W135" s="29" t="n">
        <f aca="false">D135/C135</f>
        <v>10</v>
      </c>
      <c r="X135" s="35"/>
      <c r="Y135" s="30" t="n">
        <v>29.1116712328767</v>
      </c>
      <c r="Z135" s="30" t="n">
        <v>7.56100171232877</v>
      </c>
      <c r="AA135" s="30" t="n">
        <v>5.65536628945801</v>
      </c>
      <c r="AB135" s="30" t="n">
        <v>62.3821526418787</v>
      </c>
      <c r="AD135" s="28" t="n">
        <v>115.8</v>
      </c>
      <c r="AE135" s="30" t="n">
        <f aca="false">AD135*1000/C135/D135*145.038/SQRT(145.038*L135)</f>
        <v>6.10845419474534</v>
      </c>
      <c r="AF135" s="32" t="n">
        <f aca="false">AD135*1000/C135/D135</f>
        <v>2.74082840236686</v>
      </c>
    </row>
    <row r="136" customFormat="false" ht="25.5" hidden="false" customHeight="true" outlineLevel="0" collapsed="false">
      <c r="A136" s="33"/>
      <c r="B136" s="25" t="s">
        <v>185</v>
      </c>
      <c r="C136" s="26" t="n">
        <v>65</v>
      </c>
      <c r="D136" s="26" t="n">
        <v>650</v>
      </c>
      <c r="E136" s="26" t="n">
        <v>1300</v>
      </c>
      <c r="F136" s="20" t="n">
        <v>2</v>
      </c>
      <c r="G136" s="20" t="n">
        <v>2</v>
      </c>
      <c r="H136" s="26" t="n">
        <v>1</v>
      </c>
      <c r="I136" s="26" t="n">
        <v>2</v>
      </c>
      <c r="J136" s="26" t="n">
        <v>1</v>
      </c>
      <c r="K136" s="20" t="n">
        <v>0</v>
      </c>
      <c r="L136" s="20" t="n">
        <v>43.6</v>
      </c>
      <c r="M136" s="20" t="n">
        <v>3.31252747252747</v>
      </c>
      <c r="N136" s="20" t="n">
        <v>549.9</v>
      </c>
      <c r="O136" s="20" t="n">
        <v>0.336053511705686</v>
      </c>
      <c r="P136" s="20" t="n">
        <v>0.362888313609467</v>
      </c>
      <c r="Q136" s="20" t="n">
        <v>608.4</v>
      </c>
      <c r="R136" s="20" t="n">
        <v>1.54584615384615</v>
      </c>
      <c r="S136" s="20" t="n">
        <v>549.9</v>
      </c>
      <c r="U136" s="35"/>
      <c r="V136" s="28" t="n">
        <v>0.215384615384615</v>
      </c>
      <c r="W136" s="29" t="n">
        <f aca="false">D136/C136</f>
        <v>10</v>
      </c>
      <c r="X136" s="35"/>
      <c r="Y136" s="30" t="n">
        <v>19.4968073394495</v>
      </c>
      <c r="Z136" s="30" t="n">
        <v>5.06379013761468</v>
      </c>
      <c r="AA136" s="30" t="n">
        <v>3.78753889110491</v>
      </c>
      <c r="AB136" s="30" t="n">
        <v>41.778872870249</v>
      </c>
      <c r="AD136" s="28" t="n">
        <v>111</v>
      </c>
      <c r="AE136" s="30" t="n">
        <f aca="false">AD136*1000/C136/D136*145.038/SQRT(145.038*L136)</f>
        <v>4.79174746846759</v>
      </c>
      <c r="AF136" s="32" t="n">
        <f aca="false">AD136*1000/C136/D136</f>
        <v>2.62721893491124</v>
      </c>
    </row>
    <row r="137" customFormat="false" ht="25.5" hidden="false" customHeight="true" outlineLevel="0" collapsed="false">
      <c r="A137" s="42" t="s">
        <v>186</v>
      </c>
      <c r="B137" s="25" t="s">
        <v>187</v>
      </c>
      <c r="C137" s="26" t="n">
        <v>120</v>
      </c>
      <c r="D137" s="26" t="n">
        <v>2000</v>
      </c>
      <c r="E137" s="26" t="n">
        <v>2000</v>
      </c>
      <c r="F137" s="13" t="n">
        <v>1.125</v>
      </c>
      <c r="G137" s="20" t="n">
        <v>1</v>
      </c>
      <c r="H137" s="26" t="n">
        <v>2</v>
      </c>
      <c r="I137" s="26" t="n">
        <v>2</v>
      </c>
      <c r="J137" s="26" t="n">
        <v>1</v>
      </c>
      <c r="K137" s="20" t="n">
        <v>0</v>
      </c>
      <c r="L137" s="20" t="n">
        <v>40.2</v>
      </c>
      <c r="M137" s="20" t="n">
        <v>1.4</v>
      </c>
      <c r="N137" s="20" t="n">
        <v>308</v>
      </c>
      <c r="O137" s="28" t="n">
        <v>0.251327412287184</v>
      </c>
      <c r="P137" s="20" t="n">
        <v>0.523598775598299</v>
      </c>
      <c r="Q137" s="20" t="n">
        <v>427</v>
      </c>
      <c r="R137" s="20" t="n">
        <v>0.5</v>
      </c>
      <c r="S137" s="20" t="n">
        <v>427</v>
      </c>
      <c r="U137" s="27" t="s">
        <v>188</v>
      </c>
      <c r="V137" s="28" t="n">
        <v>0.153061224489796</v>
      </c>
      <c r="W137" s="29" t="n">
        <f aca="false">D137/C137</f>
        <v>16.6666666666667</v>
      </c>
      <c r="X137" s="35"/>
      <c r="Y137" s="30" t="n">
        <v>5.31094527363184</v>
      </c>
      <c r="Z137" s="30" t="n">
        <v>5.56160888508641</v>
      </c>
      <c r="AA137" s="30" t="n">
        <v>1.63175260216306</v>
      </c>
      <c r="AB137" s="30" t="n">
        <v>10.726368159204</v>
      </c>
      <c r="AD137" s="39" t="n">
        <v>353</v>
      </c>
      <c r="AE137" s="30" t="n">
        <f aca="false">AD137*1000/C137/D137*145.038/SQRT(145.038*L137)</f>
        <v>2.79377443124128</v>
      </c>
      <c r="AF137" s="32" t="n">
        <f aca="false">AD137*1000/C137/D137</f>
        <v>1.47083333333333</v>
      </c>
    </row>
    <row r="138" customFormat="false" ht="25.5" hidden="false" customHeight="true" outlineLevel="0" collapsed="false">
      <c r="A138" s="42"/>
      <c r="B138" s="25" t="s">
        <v>189</v>
      </c>
      <c r="C138" s="26" t="n">
        <v>120</v>
      </c>
      <c r="D138" s="26" t="n">
        <v>2000</v>
      </c>
      <c r="E138" s="26" t="n">
        <v>2000</v>
      </c>
      <c r="F138" s="13" t="n">
        <v>1.125</v>
      </c>
      <c r="G138" s="20" t="n">
        <v>1</v>
      </c>
      <c r="H138" s="26" t="n">
        <v>2</v>
      </c>
      <c r="I138" s="26" t="n">
        <v>2</v>
      </c>
      <c r="J138" s="26" t="n">
        <v>1</v>
      </c>
      <c r="K138" s="20" t="n">
        <v>0.05</v>
      </c>
      <c r="L138" s="20" t="n">
        <v>41.6</v>
      </c>
      <c r="M138" s="20" t="n">
        <v>1.4</v>
      </c>
      <c r="N138" s="20" t="n">
        <v>308</v>
      </c>
      <c r="O138" s="28" t="n">
        <v>0.251327412287184</v>
      </c>
      <c r="P138" s="20" t="n">
        <v>0.523598775598299</v>
      </c>
      <c r="Q138" s="20" t="n">
        <v>427</v>
      </c>
      <c r="R138" s="20" t="n">
        <v>0.5</v>
      </c>
      <c r="S138" s="20" t="n">
        <v>427</v>
      </c>
      <c r="U138" s="13" t="s">
        <v>188</v>
      </c>
      <c r="V138" s="28" t="n">
        <v>0.153061224489796</v>
      </c>
      <c r="W138" s="29" t="n">
        <f aca="false">D138/C138</f>
        <v>16.6666666666667</v>
      </c>
      <c r="X138" s="35"/>
      <c r="Y138" s="30" t="n">
        <v>5.13221153846154</v>
      </c>
      <c r="Z138" s="30" t="n">
        <v>5.37443935529985</v>
      </c>
      <c r="AA138" s="30" t="n">
        <v>1.57683785112872</v>
      </c>
      <c r="AB138" s="30" t="n">
        <v>10.3653846153846</v>
      </c>
      <c r="AD138" s="39" t="n">
        <v>576.6</v>
      </c>
      <c r="AE138" s="30" t="n">
        <f aca="false">AD138*1000/C138/D138*145.038/SQRT(145.038*L138)</f>
        <v>4.4859830907578</v>
      </c>
      <c r="AF138" s="32" t="n">
        <f aca="false">AD138*1000/C138/D138</f>
        <v>2.4025</v>
      </c>
    </row>
    <row r="139" customFormat="false" ht="25.5" hidden="false" customHeight="true" outlineLevel="0" collapsed="false">
      <c r="A139" s="42"/>
      <c r="B139" s="25" t="s">
        <v>190</v>
      </c>
      <c r="C139" s="26" t="n">
        <v>120</v>
      </c>
      <c r="D139" s="26" t="n">
        <v>2000</v>
      </c>
      <c r="E139" s="26" t="n">
        <v>2000</v>
      </c>
      <c r="F139" s="13" t="n">
        <v>1.125</v>
      </c>
      <c r="G139" s="20" t="n">
        <v>1</v>
      </c>
      <c r="H139" s="26" t="n">
        <v>2</v>
      </c>
      <c r="I139" s="26" t="n">
        <v>2</v>
      </c>
      <c r="J139" s="26" t="n">
        <v>1</v>
      </c>
      <c r="K139" s="20" t="n">
        <v>0.05</v>
      </c>
      <c r="L139" s="20" t="n">
        <v>34.8</v>
      </c>
      <c r="M139" s="20" t="n">
        <v>1.4</v>
      </c>
      <c r="N139" s="20" t="n">
        <v>308</v>
      </c>
      <c r="O139" s="28" t="n">
        <v>0.251327412287184</v>
      </c>
      <c r="P139" s="20" t="n">
        <v>0.523598775598299</v>
      </c>
      <c r="Q139" s="20" t="n">
        <v>427</v>
      </c>
      <c r="R139" s="20" t="n">
        <v>0.5</v>
      </c>
      <c r="S139" s="20" t="n">
        <v>427</v>
      </c>
      <c r="U139" s="13" t="s">
        <v>188</v>
      </c>
      <c r="V139" s="28" t="n">
        <v>0.153061224489796</v>
      </c>
      <c r="W139" s="29" t="n">
        <f aca="false">D139/C139</f>
        <v>16.6666666666667</v>
      </c>
      <c r="X139" s="35"/>
      <c r="Y139" s="30" t="n">
        <v>6.13505747126437</v>
      </c>
      <c r="Z139" s="30" t="n">
        <v>6.42461716035844</v>
      </c>
      <c r="AA139" s="30" t="n">
        <v>1.88495559215388</v>
      </c>
      <c r="AB139" s="30" t="n">
        <v>12.3908045977012</v>
      </c>
      <c r="AD139" s="39" t="n">
        <v>539.655172413793</v>
      </c>
      <c r="AE139" s="30" t="n">
        <f aca="false">AD139*1000/C139/D139*145.038/SQRT(145.038*L139)</f>
        <v>4.5904618401309</v>
      </c>
      <c r="AF139" s="32" t="n">
        <f aca="false">AD139*1000/C139/D139</f>
        <v>2.2485632183908</v>
      </c>
    </row>
    <row r="140" customFormat="false" ht="25.5" hidden="false" customHeight="true" outlineLevel="0" collapsed="false">
      <c r="A140" s="42"/>
      <c r="B140" s="25" t="s">
        <v>191</v>
      </c>
      <c r="C140" s="26" t="n">
        <v>120</v>
      </c>
      <c r="D140" s="26" t="n">
        <v>2000</v>
      </c>
      <c r="E140" s="26" t="n">
        <v>2000</v>
      </c>
      <c r="F140" s="13" t="n">
        <v>1.125</v>
      </c>
      <c r="G140" s="20" t="n">
        <v>1</v>
      </c>
      <c r="H140" s="26" t="n">
        <v>2</v>
      </c>
      <c r="I140" s="26" t="n">
        <v>2</v>
      </c>
      <c r="J140" s="26" t="n">
        <v>1</v>
      </c>
      <c r="K140" s="20" t="n">
        <v>0</v>
      </c>
      <c r="L140" s="20" t="n">
        <v>39.8</v>
      </c>
      <c r="M140" s="20" t="n">
        <v>1.4</v>
      </c>
      <c r="N140" s="20" t="n">
        <v>308</v>
      </c>
      <c r="O140" s="28" t="n">
        <v>0.251327412287184</v>
      </c>
      <c r="P140" s="20" t="n">
        <v>0.523598775598299</v>
      </c>
      <c r="Q140" s="20" t="n">
        <v>427</v>
      </c>
      <c r="R140" s="20" t="n">
        <v>0.5</v>
      </c>
      <c r="S140" s="20" t="n">
        <v>427</v>
      </c>
      <c r="U140" s="13" t="s">
        <v>188</v>
      </c>
      <c r="V140" s="28" t="n">
        <v>0.153061224489796</v>
      </c>
      <c r="W140" s="29" t="n">
        <f aca="false">D140/C140</f>
        <v>16.6666666666667</v>
      </c>
      <c r="X140" s="35"/>
      <c r="Y140" s="30" t="n">
        <v>5.3643216080402</v>
      </c>
      <c r="Z140" s="30" t="n">
        <v>5.61750445177069</v>
      </c>
      <c r="AA140" s="30" t="n">
        <v>1.64815212580289</v>
      </c>
      <c r="AB140" s="30" t="n">
        <v>10.8341708542714</v>
      </c>
      <c r="AD140" s="39" t="n">
        <v>363.3</v>
      </c>
      <c r="AE140" s="30" t="n">
        <f aca="false">AD140*1000/C140/D140*145.038/SQRT(145.038*L140)</f>
        <v>2.88970507939848</v>
      </c>
      <c r="AF140" s="32" t="n">
        <f aca="false">AD140*1000/C140/D140</f>
        <v>1.51375</v>
      </c>
    </row>
    <row r="141" customFormat="false" ht="25.5" hidden="false" customHeight="true" outlineLevel="0" collapsed="false">
      <c r="A141" s="42"/>
      <c r="B141" s="25" t="s">
        <v>192</v>
      </c>
      <c r="C141" s="26" t="n">
        <v>120</v>
      </c>
      <c r="D141" s="26" t="n">
        <v>2000</v>
      </c>
      <c r="E141" s="26" t="n">
        <v>2000</v>
      </c>
      <c r="F141" s="13" t="n">
        <v>1.125</v>
      </c>
      <c r="G141" s="20" t="n">
        <v>1</v>
      </c>
      <c r="H141" s="26" t="n">
        <v>2</v>
      </c>
      <c r="I141" s="26" t="n">
        <v>2</v>
      </c>
      <c r="J141" s="26" t="n">
        <v>1</v>
      </c>
      <c r="K141" s="20" t="n">
        <v>0.05</v>
      </c>
      <c r="L141" s="20" t="n">
        <v>35.6</v>
      </c>
      <c r="M141" s="20" t="n">
        <v>1.4</v>
      </c>
      <c r="N141" s="20" t="n">
        <v>308</v>
      </c>
      <c r="O141" s="28" t="n">
        <v>0.251327412287184</v>
      </c>
      <c r="P141" s="20" t="n">
        <v>0.523598775598299</v>
      </c>
      <c r="Q141" s="20" t="n">
        <v>427</v>
      </c>
      <c r="R141" s="20" t="n">
        <v>0.5</v>
      </c>
      <c r="S141" s="20" t="n">
        <v>427</v>
      </c>
      <c r="U141" s="13" t="s">
        <v>188</v>
      </c>
      <c r="V141" s="28" t="n">
        <v>0.153061224489796</v>
      </c>
      <c r="W141" s="29" t="n">
        <f aca="false">D141/C141</f>
        <v>16.6666666666667</v>
      </c>
      <c r="X141" s="35"/>
      <c r="Y141" s="30" t="n">
        <v>5.99719101123596</v>
      </c>
      <c r="Z141" s="30" t="n">
        <v>6.28024374102454</v>
      </c>
      <c r="AA141" s="30" t="n">
        <v>1.84259703952121</v>
      </c>
      <c r="AB141" s="30" t="n">
        <v>12.1123595505618</v>
      </c>
      <c r="AD141" s="39" t="n">
        <v>534.38</v>
      </c>
      <c r="AE141" s="30" t="n">
        <f aca="false">AD141*1000/C141/D141*145.038/SQRT(145.038*L141)</f>
        <v>4.4942254645317</v>
      </c>
      <c r="AF141" s="32" t="n">
        <f aca="false">AD141*1000/C141/D141</f>
        <v>2.22658333333333</v>
      </c>
    </row>
    <row r="142" customFormat="false" ht="25.5" hidden="false" customHeight="true" outlineLevel="0" collapsed="false">
      <c r="A142" s="42"/>
      <c r="B142" s="25" t="s">
        <v>193</v>
      </c>
      <c r="C142" s="26" t="n">
        <v>120</v>
      </c>
      <c r="D142" s="26" t="n">
        <v>2000</v>
      </c>
      <c r="E142" s="26" t="n">
        <v>3000</v>
      </c>
      <c r="F142" s="13" t="n">
        <v>1.625</v>
      </c>
      <c r="G142" s="20" t="n">
        <v>1.5</v>
      </c>
      <c r="H142" s="26" t="n">
        <v>2</v>
      </c>
      <c r="I142" s="26" t="n">
        <v>2</v>
      </c>
      <c r="J142" s="26" t="n">
        <v>1</v>
      </c>
      <c r="K142" s="20" t="n">
        <v>0.05</v>
      </c>
      <c r="L142" s="20" t="n">
        <v>41.2</v>
      </c>
      <c r="M142" s="20" t="n">
        <v>1.4</v>
      </c>
      <c r="N142" s="20" t="n">
        <v>308</v>
      </c>
      <c r="O142" s="28" t="n">
        <v>0.251327412287184</v>
      </c>
      <c r="P142" s="20" t="n">
        <v>0.523598775598299</v>
      </c>
      <c r="Q142" s="20" t="n">
        <v>427</v>
      </c>
      <c r="R142" s="20" t="n">
        <v>0.5</v>
      </c>
      <c r="S142" s="20" t="n">
        <v>427</v>
      </c>
      <c r="U142" s="13" t="s">
        <v>188</v>
      </c>
      <c r="V142" s="28" t="n">
        <v>0.153061224489796</v>
      </c>
      <c r="W142" s="29" t="n">
        <f aca="false">D142/C142</f>
        <v>16.6666666666667</v>
      </c>
      <c r="X142" s="35"/>
      <c r="Y142" s="30" t="n">
        <v>5.18203883495146</v>
      </c>
      <c r="Z142" s="30" t="n">
        <v>5.42661837816683</v>
      </c>
      <c r="AA142" s="30" t="n">
        <v>1.59214695647949</v>
      </c>
      <c r="AB142" s="30" t="n">
        <v>10.4660194174757</v>
      </c>
      <c r="AD142" s="39" t="n">
        <v>422.1</v>
      </c>
      <c r="AE142" s="30" t="n">
        <f aca="false">AD142*1000/C142/D142*145.038/SQRT(145.038*L142)</f>
        <v>3.29986675305376</v>
      </c>
      <c r="AF142" s="32" t="n">
        <f aca="false">AD142*1000/C142/D142</f>
        <v>1.75875</v>
      </c>
    </row>
    <row r="143" customFormat="false" ht="25.5" hidden="false" customHeight="true" outlineLevel="0" collapsed="false">
      <c r="A143" s="42"/>
      <c r="B143" s="25" t="s">
        <v>194</v>
      </c>
      <c r="C143" s="26" t="n">
        <v>120</v>
      </c>
      <c r="D143" s="26" t="n">
        <v>2000</v>
      </c>
      <c r="E143" s="26" t="n">
        <v>3000</v>
      </c>
      <c r="F143" s="13" t="n">
        <v>1.625</v>
      </c>
      <c r="G143" s="20" t="n">
        <v>1.5</v>
      </c>
      <c r="H143" s="26" t="n">
        <v>2</v>
      </c>
      <c r="I143" s="26" t="n">
        <v>2</v>
      </c>
      <c r="J143" s="26" t="n">
        <v>1</v>
      </c>
      <c r="K143" s="20" t="n">
        <v>0.05</v>
      </c>
      <c r="L143" s="20" t="n">
        <v>39.6</v>
      </c>
      <c r="M143" s="20" t="n">
        <v>1.4</v>
      </c>
      <c r="N143" s="20" t="n">
        <v>308</v>
      </c>
      <c r="O143" s="28" t="n">
        <v>0.251327412287184</v>
      </c>
      <c r="P143" s="20" t="n">
        <v>0.523598775598299</v>
      </c>
      <c r="Q143" s="20" t="n">
        <v>427</v>
      </c>
      <c r="R143" s="20" t="n">
        <v>0.5</v>
      </c>
      <c r="S143" s="20" t="n">
        <v>427</v>
      </c>
      <c r="U143" s="13" t="s">
        <v>188</v>
      </c>
      <c r="V143" s="28" t="n">
        <v>0.153061224489796</v>
      </c>
      <c r="W143" s="29" t="n">
        <f aca="false">D143/C143</f>
        <v>16.6666666666667</v>
      </c>
      <c r="X143" s="35"/>
      <c r="Y143" s="30" t="n">
        <v>5.39141414141414</v>
      </c>
      <c r="Z143" s="30" t="n">
        <v>5.6458756863756</v>
      </c>
      <c r="AA143" s="30" t="n">
        <v>1.65647612643826</v>
      </c>
      <c r="AB143" s="30" t="n">
        <v>10.8888888888889</v>
      </c>
      <c r="AD143" s="39" t="n">
        <v>406</v>
      </c>
      <c r="AE143" s="30" t="n">
        <f aca="false">AD143*1000/C143/D143*145.038/SQRT(145.038*L143)</f>
        <v>3.23748749883836</v>
      </c>
      <c r="AF143" s="32" t="n">
        <f aca="false">AD143*1000/C143/D143</f>
        <v>1.69166666666667</v>
      </c>
    </row>
    <row r="144" customFormat="false" ht="25.5" hidden="false" customHeight="true" outlineLevel="0" collapsed="false">
      <c r="A144" s="42"/>
      <c r="B144" s="25" t="s">
        <v>195</v>
      </c>
      <c r="C144" s="26" t="n">
        <v>120</v>
      </c>
      <c r="D144" s="26" t="n">
        <v>2000</v>
      </c>
      <c r="E144" s="26" t="n">
        <v>3000</v>
      </c>
      <c r="F144" s="13" t="n">
        <v>1.625</v>
      </c>
      <c r="G144" s="20" t="n">
        <v>1.5</v>
      </c>
      <c r="H144" s="26" t="n">
        <v>2</v>
      </c>
      <c r="I144" s="26" t="n">
        <v>2</v>
      </c>
      <c r="J144" s="26" t="n">
        <v>1</v>
      </c>
      <c r="K144" s="20" t="n">
        <v>0.05</v>
      </c>
      <c r="L144" s="20" t="n">
        <v>40.3</v>
      </c>
      <c r="M144" s="20" t="n">
        <v>1.4</v>
      </c>
      <c r="N144" s="20" t="n">
        <v>308</v>
      </c>
      <c r="O144" s="28" t="n">
        <v>0.251327412287184</v>
      </c>
      <c r="P144" s="20" t="n">
        <v>0.523598775598299</v>
      </c>
      <c r="Q144" s="20" t="n">
        <v>427</v>
      </c>
      <c r="R144" s="20" t="n">
        <v>0.5</v>
      </c>
      <c r="S144" s="20" t="n">
        <v>427</v>
      </c>
      <c r="U144" s="13" t="s">
        <v>188</v>
      </c>
      <c r="V144" s="28" t="n">
        <v>0.153061224489796</v>
      </c>
      <c r="W144" s="29" t="n">
        <f aca="false">D144/C144</f>
        <v>16.6666666666667</v>
      </c>
      <c r="X144" s="35"/>
      <c r="Y144" s="30" t="n">
        <v>5.29776674937965</v>
      </c>
      <c r="Z144" s="30" t="n">
        <v>5.54780836676113</v>
      </c>
      <c r="AA144" s="30" t="n">
        <v>1.62770358826191</v>
      </c>
      <c r="AB144" s="30" t="n">
        <v>10.6997518610422</v>
      </c>
      <c r="AD144" s="39" t="n">
        <v>409.6</v>
      </c>
      <c r="AE144" s="30" t="n">
        <f aca="false">AD144*1000/C144/D144*145.038/SQRT(145.038*L144)</f>
        <v>3.23770357200624</v>
      </c>
      <c r="AF144" s="32" t="n">
        <f aca="false">AD144*1000/C144/D144</f>
        <v>1.70666666666667</v>
      </c>
    </row>
    <row r="145" customFormat="false" ht="25.5" hidden="false" customHeight="true" outlineLevel="0" collapsed="false">
      <c r="A145" s="20" t="s">
        <v>196</v>
      </c>
      <c r="B145" s="25" t="s">
        <v>197</v>
      </c>
      <c r="C145" s="26" t="n">
        <v>45</v>
      </c>
      <c r="D145" s="26" t="n">
        <v>450</v>
      </c>
      <c r="E145" s="26" t="n">
        <v>855</v>
      </c>
      <c r="F145" s="20" t="n">
        <v>1.1</v>
      </c>
      <c r="G145" s="20" t="n">
        <v>1.9</v>
      </c>
      <c r="H145" s="26" t="n">
        <v>1</v>
      </c>
      <c r="I145" s="26" t="n">
        <v>2</v>
      </c>
      <c r="J145" s="26" t="n">
        <v>2</v>
      </c>
      <c r="K145" s="20" t="n">
        <v>0</v>
      </c>
      <c r="L145" s="20" t="n">
        <v>45.5</v>
      </c>
      <c r="M145" s="20" t="n">
        <v>4.845</v>
      </c>
      <c r="N145" s="20" t="n">
        <v>702</v>
      </c>
      <c r="O145" s="20" t="n">
        <v>0.93037037037037</v>
      </c>
      <c r="P145" s="20" t="n">
        <v>0.93037037037037</v>
      </c>
      <c r="Q145" s="20" t="n">
        <v>484.4</v>
      </c>
      <c r="R145" s="20" t="n">
        <v>0.558222222222222</v>
      </c>
      <c r="S145" s="20" t="n">
        <v>484.4</v>
      </c>
      <c r="U145" s="35"/>
      <c r="V145" s="28" t="n">
        <v>0.222222222222222</v>
      </c>
      <c r="W145" s="29" t="n">
        <f aca="false">D145/C145</f>
        <v>10</v>
      </c>
      <c r="X145" s="35"/>
      <c r="Y145" s="30" t="n">
        <v>5.94291965811966</v>
      </c>
      <c r="Z145" s="30" t="n">
        <v>9.9048660968661</v>
      </c>
      <c r="AA145" s="30" t="n">
        <v>9.9048660968661</v>
      </c>
      <c r="AB145" s="30" t="n">
        <v>74.7514285714286</v>
      </c>
      <c r="AD145" s="28" t="n">
        <v>107.5</v>
      </c>
      <c r="AE145" s="30" t="n">
        <f aca="false">AD145*1000/C145/D145*145.038/SQRT(145.038*L145)</f>
        <v>9.47804223422635</v>
      </c>
      <c r="AF145" s="32" t="n">
        <f aca="false">AD145*1000/C145/D145</f>
        <v>5.30864197530864</v>
      </c>
    </row>
    <row r="146" customFormat="false" ht="25.5" hidden="false" customHeight="true" outlineLevel="0" collapsed="false">
      <c r="A146" s="33" t="s">
        <v>198</v>
      </c>
      <c r="B146" s="34" t="s">
        <v>199</v>
      </c>
      <c r="C146" s="26" t="n">
        <v>152.4</v>
      </c>
      <c r="D146" s="26" t="n">
        <v>3048</v>
      </c>
      <c r="E146" s="26" t="n">
        <v>3657.6</v>
      </c>
      <c r="F146" s="20" t="n">
        <v>2.37</v>
      </c>
      <c r="G146" s="20" t="n">
        <v>1.2</v>
      </c>
      <c r="H146" s="26" t="n">
        <v>1</v>
      </c>
      <c r="I146" s="26" t="n">
        <v>2</v>
      </c>
      <c r="J146" s="26" t="n">
        <v>2</v>
      </c>
      <c r="K146" s="20" t="n">
        <v>0.095</v>
      </c>
      <c r="L146" s="20" t="n">
        <v>36</v>
      </c>
      <c r="M146" s="20" t="n">
        <v>3.434375</v>
      </c>
      <c r="N146" s="20" t="n">
        <v>579</v>
      </c>
      <c r="O146" s="20" t="n">
        <v>0.817708333333333</v>
      </c>
      <c r="P146" s="20" t="n">
        <v>0.272569444444444</v>
      </c>
      <c r="Q146" s="20" t="n">
        <v>522</v>
      </c>
      <c r="R146" s="20" t="n">
        <v>0.272569444444444</v>
      </c>
      <c r="S146" s="20" t="n">
        <v>522</v>
      </c>
      <c r="U146" s="35"/>
      <c r="V146" s="28" t="n">
        <v>0.166666666666667</v>
      </c>
      <c r="W146" s="29" t="n">
        <f aca="false">D146/C146</f>
        <v>20</v>
      </c>
      <c r="X146" s="35"/>
      <c r="Y146" s="30" t="n">
        <v>3.95225694444445</v>
      </c>
      <c r="Z146" s="30" t="n">
        <v>3.95225694444445</v>
      </c>
      <c r="AA146" s="30" t="n">
        <v>11.8567708333333</v>
      </c>
      <c r="AB146" s="30" t="n">
        <v>55.2361979166667</v>
      </c>
      <c r="AD146" s="28" t="n">
        <v>807.85410526682</v>
      </c>
      <c r="AE146" s="30" t="n">
        <f aca="false">AD146*1000/C146/D146*145.038/SQRT(145.038*L146)</f>
        <v>3.49078143368177</v>
      </c>
      <c r="AF146" s="32" t="n">
        <f aca="false">AD146*1000/C146/D146</f>
        <v>1.73913384377265</v>
      </c>
    </row>
    <row r="147" customFormat="false" ht="25.5" hidden="false" customHeight="true" outlineLevel="0" collapsed="false">
      <c r="A147" s="33"/>
      <c r="B147" s="34" t="s">
        <v>200</v>
      </c>
      <c r="C147" s="26" t="n">
        <v>152.4</v>
      </c>
      <c r="D147" s="26" t="n">
        <v>3048</v>
      </c>
      <c r="E147" s="26" t="n">
        <v>3657.6</v>
      </c>
      <c r="F147" s="20" t="n">
        <v>1.8</v>
      </c>
      <c r="G147" s="20" t="n">
        <v>1.2</v>
      </c>
      <c r="H147" s="26" t="n">
        <v>1</v>
      </c>
      <c r="I147" s="26" t="n">
        <v>2</v>
      </c>
      <c r="J147" s="26" t="n">
        <v>2</v>
      </c>
      <c r="K147" s="20" t="n">
        <v>0.13</v>
      </c>
      <c r="L147" s="20" t="n">
        <v>40.3</v>
      </c>
      <c r="M147" s="20" t="n">
        <v>3.434375</v>
      </c>
      <c r="N147" s="20" t="n">
        <v>579</v>
      </c>
      <c r="O147" s="20" t="n">
        <v>0.817708333333333</v>
      </c>
      <c r="P147" s="20" t="n">
        <v>0.272569444444444</v>
      </c>
      <c r="Q147" s="20" t="n">
        <v>522</v>
      </c>
      <c r="R147" s="20" t="n">
        <v>0.272569444444444</v>
      </c>
      <c r="S147" s="20" t="n">
        <v>522</v>
      </c>
      <c r="U147" s="35"/>
      <c r="V147" s="28" t="n">
        <v>0.166666666666667</v>
      </c>
      <c r="W147" s="29" t="n">
        <f aca="false">D147/C147</f>
        <v>20</v>
      </c>
      <c r="X147" s="35"/>
      <c r="Y147" s="30" t="n">
        <v>3.53055210918114</v>
      </c>
      <c r="Z147" s="30" t="n">
        <v>3.53055210918114</v>
      </c>
      <c r="AA147" s="30" t="n">
        <v>10.5916563275434</v>
      </c>
      <c r="AB147" s="30" t="n">
        <v>49.3425093052109</v>
      </c>
      <c r="AD147" s="28" t="n">
        <v>1279.41289046427</v>
      </c>
      <c r="AE147" s="30" t="n">
        <f aca="false">AD147*1000/C147/D147*145.038/SQRT(145.038*L147)</f>
        <v>5.22515491040654</v>
      </c>
      <c r="AF147" s="32" t="n">
        <f aca="false">AD147*1000/C147/D147</f>
        <v>2.75429714778821</v>
      </c>
    </row>
    <row r="148" customFormat="false" ht="25.5" hidden="false" customHeight="true" outlineLevel="0" collapsed="false">
      <c r="A148" s="33"/>
      <c r="B148" s="34" t="s">
        <v>201</v>
      </c>
      <c r="C148" s="26" t="n">
        <v>152.4</v>
      </c>
      <c r="D148" s="26" t="n">
        <v>3048</v>
      </c>
      <c r="E148" s="26" t="n">
        <v>3657.6</v>
      </c>
      <c r="F148" s="20" t="n">
        <v>1.7</v>
      </c>
      <c r="G148" s="20" t="n">
        <v>1.2</v>
      </c>
      <c r="H148" s="26" t="n">
        <v>1</v>
      </c>
      <c r="I148" s="26" t="n">
        <v>2</v>
      </c>
      <c r="J148" s="26" t="n">
        <v>2</v>
      </c>
      <c r="K148" s="20" t="n">
        <v>0.1</v>
      </c>
      <c r="L148" s="20" t="n">
        <v>34.3</v>
      </c>
      <c r="M148" s="20" t="n">
        <v>1.96870063191153</v>
      </c>
      <c r="N148" s="20" t="n">
        <v>353</v>
      </c>
      <c r="O148" s="20" t="n">
        <v>0.933473782771536</v>
      </c>
      <c r="P148" s="20" t="n">
        <v>0.272569444444444</v>
      </c>
      <c r="Q148" s="20" t="n">
        <v>522</v>
      </c>
      <c r="R148" s="20" t="n">
        <v>1.53850308641975</v>
      </c>
      <c r="S148" s="20" t="n">
        <v>353</v>
      </c>
      <c r="U148" s="35"/>
      <c r="V148" s="28" t="n">
        <v>0.193832020997375</v>
      </c>
      <c r="W148" s="29" t="n">
        <f aca="false">D148/C148</f>
        <v>20</v>
      </c>
      <c r="X148" s="35"/>
      <c r="Y148" s="30" t="n">
        <v>15.8335740380808</v>
      </c>
      <c r="Z148" s="30" t="n">
        <v>4.14814139941691</v>
      </c>
      <c r="AA148" s="30" t="n">
        <v>14.2062190847447</v>
      </c>
      <c r="AB148" s="30" t="n">
        <v>20.2609715179234</v>
      </c>
      <c r="AD148" s="28" t="n">
        <v>993.85835326794</v>
      </c>
      <c r="AE148" s="30" t="n">
        <f aca="false">AD148*1000/C148/D148*145.038/SQRT(145.038*L148)</f>
        <v>4.39965278417453</v>
      </c>
      <c r="AF148" s="32" t="n">
        <f aca="false">AD148*1000/C148/D148</f>
        <v>2.13956045629495</v>
      </c>
    </row>
    <row r="149" customFormat="false" ht="25.5" hidden="false" customHeight="true" outlineLevel="0" collapsed="false">
      <c r="A149" s="33"/>
      <c r="B149" s="34" t="s">
        <v>202</v>
      </c>
      <c r="C149" s="26" t="n">
        <v>152.4</v>
      </c>
      <c r="D149" s="26" t="n">
        <v>3048</v>
      </c>
      <c r="E149" s="26" t="n">
        <v>3657.6</v>
      </c>
      <c r="F149" s="20" t="n">
        <v>1.73</v>
      </c>
      <c r="G149" s="20" t="n">
        <v>1.2</v>
      </c>
      <c r="H149" s="26" t="n">
        <v>1</v>
      </c>
      <c r="I149" s="26" t="n">
        <v>2</v>
      </c>
      <c r="J149" s="26" t="n">
        <v>2</v>
      </c>
      <c r="K149" s="20" t="n">
        <v>0.12</v>
      </c>
      <c r="L149" s="20" t="n">
        <v>29.4</v>
      </c>
      <c r="M149" s="20" t="n">
        <v>3.434375</v>
      </c>
      <c r="N149" s="20" t="n">
        <v>462</v>
      </c>
      <c r="O149" s="20" t="n">
        <v>0.817708333333333</v>
      </c>
      <c r="P149" s="20" t="n">
        <v>0.272569444444444</v>
      </c>
      <c r="Q149" s="20" t="n">
        <v>522</v>
      </c>
      <c r="R149" s="20" t="n">
        <v>0.272569444444444</v>
      </c>
      <c r="S149" s="20" t="n">
        <v>522</v>
      </c>
      <c r="U149" s="35"/>
      <c r="V149" s="28" t="n">
        <v>0.166666666666667</v>
      </c>
      <c r="W149" s="29" t="n">
        <f aca="false">D149/C149</f>
        <v>20</v>
      </c>
      <c r="X149" s="35"/>
      <c r="Y149" s="30" t="n">
        <v>4.83949829931973</v>
      </c>
      <c r="Z149" s="30" t="n">
        <v>4.83949829931973</v>
      </c>
      <c r="AA149" s="30" t="n">
        <v>14.5184948979592</v>
      </c>
      <c r="AB149" s="30" t="n">
        <v>53.96875</v>
      </c>
      <c r="AD149" s="28" t="n">
        <v>936.36676478033</v>
      </c>
      <c r="AE149" s="30" t="n">
        <f aca="false">AD149*1000/C149/D149*145.038/SQRT(145.038*L149)</f>
        <v>4.47727012104556</v>
      </c>
      <c r="AF149" s="32" t="n">
        <f aca="false">AD149*1000/C149/D149</f>
        <v>2.01579359465596</v>
      </c>
    </row>
    <row r="150" customFormat="false" ht="25.5" hidden="false" customHeight="true" outlineLevel="0" collapsed="false">
      <c r="A150" s="24" t="s">
        <v>203</v>
      </c>
      <c r="B150" s="25" t="s">
        <v>204</v>
      </c>
      <c r="C150" s="26" t="n">
        <v>200</v>
      </c>
      <c r="D150" s="26" t="n">
        <v>1000</v>
      </c>
      <c r="E150" s="26" t="n">
        <v>1500</v>
      </c>
      <c r="F150" s="20" t="n">
        <v>1.5</v>
      </c>
      <c r="G150" s="20" t="n">
        <v>1.5</v>
      </c>
      <c r="H150" s="26" t="n">
        <v>1</v>
      </c>
      <c r="I150" s="26" t="n">
        <v>1</v>
      </c>
      <c r="J150" s="26" t="n">
        <v>1</v>
      </c>
      <c r="K150" s="20" t="n">
        <v>0.23</v>
      </c>
      <c r="L150" s="20" t="n">
        <v>31.82</v>
      </c>
      <c r="M150" s="20" t="n">
        <v>1.178</v>
      </c>
      <c r="N150" s="20" t="n">
        <v>552.5</v>
      </c>
      <c r="O150" s="28" t="n">
        <v>0.367566340470006</v>
      </c>
      <c r="P150" s="20" t="n">
        <v>0.30159289474462</v>
      </c>
      <c r="Q150" s="20" t="n">
        <v>557.5</v>
      </c>
      <c r="R150" s="20" t="n">
        <v>0.335</v>
      </c>
      <c r="S150" s="20" t="n">
        <v>557.5</v>
      </c>
      <c r="U150" s="27" t="s">
        <v>205</v>
      </c>
      <c r="V150" s="28" t="n">
        <v>0.2</v>
      </c>
      <c r="W150" s="29" t="n">
        <f aca="false">D150/C150</f>
        <v>5</v>
      </c>
      <c r="X150" s="35"/>
      <c r="Y150" s="30" t="n">
        <v>5.86934318038969</v>
      </c>
      <c r="Z150" s="30" t="n">
        <v>5.28403641798007</v>
      </c>
      <c r="AA150" s="30" t="n">
        <v>5.40029114298327</v>
      </c>
      <c r="AB150" s="30" t="n">
        <v>20.4539597737272</v>
      </c>
      <c r="AD150" s="39" t="n">
        <v>630.91</v>
      </c>
      <c r="AE150" s="30" t="n">
        <f aca="false">AD150*1000/C150/D150*145.038/SQRT(145.038*L150)</f>
        <v>6.73485467565371</v>
      </c>
      <c r="AF150" s="32" t="n">
        <f aca="false">AD150*1000/C150/D150</f>
        <v>3.15455</v>
      </c>
    </row>
    <row r="151" customFormat="false" ht="25.5" hidden="false" customHeight="true" outlineLevel="0" collapsed="false">
      <c r="A151" s="42" t="s">
        <v>206</v>
      </c>
      <c r="B151" s="25" t="s">
        <v>207</v>
      </c>
      <c r="C151" s="26" t="n">
        <v>150</v>
      </c>
      <c r="D151" s="26" t="n">
        <v>1400</v>
      </c>
      <c r="E151" s="26" t="n">
        <v>2800</v>
      </c>
      <c r="F151" s="13" t="n">
        <v>2</v>
      </c>
      <c r="G151" s="20" t="n">
        <v>2</v>
      </c>
      <c r="H151" s="26" t="n">
        <v>1</v>
      </c>
      <c r="I151" s="26" t="n">
        <v>2</v>
      </c>
      <c r="J151" s="26" t="n">
        <v>1</v>
      </c>
      <c r="K151" s="28" t="n">
        <v>0</v>
      </c>
      <c r="L151" s="20" t="n">
        <v>34.7</v>
      </c>
      <c r="M151" s="20" t="n">
        <v>0</v>
      </c>
      <c r="N151" s="20" t="s">
        <v>208</v>
      </c>
      <c r="O151" s="28" t="n">
        <v>0</v>
      </c>
      <c r="P151" s="20" t="n">
        <v>0.25</v>
      </c>
      <c r="Q151" s="20" t="n">
        <v>300.6</v>
      </c>
      <c r="R151" s="20" t="n">
        <v>0.524</v>
      </c>
      <c r="S151" s="20" t="n">
        <v>300</v>
      </c>
      <c r="U151" s="13" t="s">
        <v>209</v>
      </c>
      <c r="V151" s="28" t="n">
        <v>0</v>
      </c>
      <c r="W151" s="29" t="n">
        <f aca="false">D151/C151</f>
        <v>9.33333333333333</v>
      </c>
      <c r="X151" s="35"/>
      <c r="Y151" s="30" t="n">
        <v>4.53025936599424</v>
      </c>
      <c r="Z151" s="30" t="n">
        <v>2.1657060518732</v>
      </c>
      <c r="AA151" s="30" t="n">
        <v>0</v>
      </c>
      <c r="AB151" s="30" t="n">
        <v>0</v>
      </c>
      <c r="AD151" s="28" t="n">
        <v>183.209653368645</v>
      </c>
      <c r="AE151" s="30" t="n">
        <f aca="false">AD151*1000/C151/D151*145.038/SQRT(145.038*L151)</f>
        <v>1.78363186335872</v>
      </c>
      <c r="AF151" s="32" t="n">
        <f aca="false">AD151*1000/C151/D151</f>
        <v>0.87242692080307</v>
      </c>
    </row>
    <row r="152" customFormat="false" ht="25.5" hidden="false" customHeight="true" outlineLevel="0" collapsed="false">
      <c r="A152" s="42"/>
      <c r="B152" s="25" t="s">
        <v>210</v>
      </c>
      <c r="C152" s="26" t="n">
        <v>150</v>
      </c>
      <c r="D152" s="26" t="n">
        <v>1400</v>
      </c>
      <c r="E152" s="26" t="n">
        <v>2800</v>
      </c>
      <c r="F152" s="13" t="n">
        <v>2</v>
      </c>
      <c r="G152" s="20" t="n">
        <v>2</v>
      </c>
      <c r="H152" s="26" t="n">
        <v>1</v>
      </c>
      <c r="I152" s="26" t="n">
        <v>2</v>
      </c>
      <c r="J152" s="26" t="n">
        <v>1</v>
      </c>
      <c r="K152" s="28" t="n">
        <v>0.0660478880817864</v>
      </c>
      <c r="L152" s="20" t="n">
        <v>35.4</v>
      </c>
      <c r="M152" s="20" t="n">
        <v>0.756</v>
      </c>
      <c r="N152" s="20" t="n">
        <v>300</v>
      </c>
      <c r="O152" s="20" t="n">
        <v>0.418666666666667</v>
      </c>
      <c r="P152" s="20" t="n">
        <v>0.25</v>
      </c>
      <c r="Q152" s="20" t="n">
        <v>300.6</v>
      </c>
      <c r="R152" s="20" t="n">
        <v>0.35</v>
      </c>
      <c r="S152" s="20" t="n">
        <v>300</v>
      </c>
      <c r="U152" s="13" t="s">
        <v>209</v>
      </c>
      <c r="V152" s="28" t="n">
        <v>0.197857142857143</v>
      </c>
      <c r="W152" s="29" t="n">
        <f aca="false">D152/C152</f>
        <v>9.33333333333333</v>
      </c>
      <c r="X152" s="35"/>
      <c r="Y152" s="30" t="n">
        <v>2.96610169491525</v>
      </c>
      <c r="Z152" s="30" t="n">
        <v>2.1228813559322</v>
      </c>
      <c r="AA152" s="30" t="n">
        <v>3.5551186440678</v>
      </c>
      <c r="AB152" s="30" t="n">
        <v>6.40677966101695</v>
      </c>
      <c r="AD152" s="28" t="n">
        <v>475.073947744677</v>
      </c>
      <c r="AE152" s="30" t="n">
        <f aca="false">AD152*1000/C152/D152*145.038/SQRT(145.038*L152)</f>
        <v>4.57911120439862</v>
      </c>
      <c r="AF152" s="32" t="n">
        <f aca="false">AD152*1000/C152/D152</f>
        <v>2.26225689402227</v>
      </c>
    </row>
    <row r="153" customFormat="false" ht="25.5" hidden="false" customHeight="true" outlineLevel="0" collapsed="false">
      <c r="A153" s="20" t="s">
        <v>211</v>
      </c>
      <c r="B153" s="25" t="s">
        <v>212</v>
      </c>
      <c r="C153" s="26" t="n">
        <v>125</v>
      </c>
      <c r="D153" s="26" t="n">
        <v>1000</v>
      </c>
      <c r="E153" s="26" t="n">
        <v>2000</v>
      </c>
      <c r="F153" s="20" t="n">
        <v>2</v>
      </c>
      <c r="G153" s="20" t="n">
        <v>2</v>
      </c>
      <c r="H153" s="26" t="n">
        <v>1</v>
      </c>
      <c r="I153" s="26" t="n">
        <v>2</v>
      </c>
      <c r="J153" s="26" t="n">
        <v>1</v>
      </c>
      <c r="K153" s="28" t="n">
        <v>0.142307692307692</v>
      </c>
      <c r="L153" s="20" t="n">
        <v>20.8</v>
      </c>
      <c r="M153" s="50" t="n">
        <v>1.80378525564964</v>
      </c>
      <c r="N153" s="20" t="n">
        <v>448</v>
      </c>
      <c r="O153" s="28" t="n">
        <v>0.90477868423386</v>
      </c>
      <c r="P153" s="20" t="n">
        <v>0.361911473693544</v>
      </c>
      <c r="Q153" s="20" t="n">
        <v>527</v>
      </c>
      <c r="R153" s="20" t="n">
        <v>0.3886506375575</v>
      </c>
      <c r="S153" s="20" t="n">
        <v>448</v>
      </c>
      <c r="U153" s="27"/>
      <c r="V153" s="28" t="n">
        <v>0.209</v>
      </c>
      <c r="W153" s="29" t="n">
        <f aca="false">D153/C153</f>
        <v>8</v>
      </c>
      <c r="X153" s="35"/>
      <c r="Y153" s="30" t="n">
        <v>8.37093680893077</v>
      </c>
      <c r="Z153" s="30" t="n">
        <v>7.79501635647634</v>
      </c>
      <c r="AA153" s="30" t="n">
        <v>19.4875408911908</v>
      </c>
      <c r="AB153" s="30" t="n">
        <v>45.7016745061231</v>
      </c>
      <c r="AD153" s="39" t="n">
        <v>242</v>
      </c>
      <c r="AE153" s="30" t="n">
        <f aca="false">AD153*1000/C153/D153*145.038/SQRT(145.038*L153)</f>
        <v>5.11227946509488</v>
      </c>
      <c r="AF153" s="32" t="n">
        <f aca="false">AD153*1000/C153/D153</f>
        <v>1.936</v>
      </c>
    </row>
    <row r="154" customFormat="false" ht="25.5" hidden="false" customHeight="true" outlineLevel="0" collapsed="false">
      <c r="A154" s="42" t="s">
        <v>213</v>
      </c>
      <c r="B154" s="25" t="s">
        <v>204</v>
      </c>
      <c r="C154" s="26" t="n">
        <v>203</v>
      </c>
      <c r="D154" s="26" t="n">
        <v>3050</v>
      </c>
      <c r="E154" s="26" t="n">
        <v>2867</v>
      </c>
      <c r="F154" s="20" t="n">
        <v>0.94</v>
      </c>
      <c r="G154" s="20" t="n">
        <v>0.94</v>
      </c>
      <c r="H154" s="26" t="n">
        <v>1</v>
      </c>
      <c r="I154" s="26" t="n">
        <v>2</v>
      </c>
      <c r="J154" s="26" t="n">
        <v>1</v>
      </c>
      <c r="K154" s="20" t="n">
        <v>0</v>
      </c>
      <c r="L154" s="20" t="n">
        <v>32.27</v>
      </c>
      <c r="M154" s="20" t="n">
        <v>0</v>
      </c>
      <c r="N154" s="20" t="n">
        <v>0</v>
      </c>
      <c r="O154" s="28" t="n">
        <v>0</v>
      </c>
      <c r="P154" s="20" t="n">
        <v>0.67</v>
      </c>
      <c r="Q154" s="20" t="n">
        <v>540.4815</v>
      </c>
      <c r="R154" s="20" t="n">
        <v>0.67</v>
      </c>
      <c r="S154" s="20" t="n">
        <v>542.54</v>
      </c>
      <c r="U154" s="27" t="s">
        <v>214</v>
      </c>
      <c r="V154" s="28" t="n">
        <v>0</v>
      </c>
      <c r="W154" s="29" t="n">
        <f aca="false">D154/C154</f>
        <v>15.0246305418719</v>
      </c>
      <c r="X154" s="35"/>
      <c r="Y154" s="30" t="n">
        <v>11.2643879764487</v>
      </c>
      <c r="Z154" s="30" t="n">
        <v>11.2216487449644</v>
      </c>
      <c r="AA154" s="30" t="n">
        <v>0</v>
      </c>
      <c r="AB154" s="30" t="n">
        <v>0</v>
      </c>
      <c r="AD154" s="39" t="n">
        <v>1116.476</v>
      </c>
      <c r="AE154" s="30" t="n">
        <f aca="false">AD154*1000/C154/D154*145.038/SQRT(145.038*L154)</f>
        <v>3.82291756333101</v>
      </c>
      <c r="AF154" s="32" t="n">
        <f aca="false">AD154*1000/C154/D154</f>
        <v>1.8032399257046</v>
      </c>
    </row>
    <row r="155" customFormat="false" ht="25.5" hidden="false" customHeight="true" outlineLevel="0" collapsed="false">
      <c r="A155" s="42"/>
      <c r="B155" s="25" t="s">
        <v>215</v>
      </c>
      <c r="C155" s="26" t="n">
        <v>203</v>
      </c>
      <c r="D155" s="26" t="n">
        <v>3050</v>
      </c>
      <c r="E155" s="26" t="n">
        <v>1647</v>
      </c>
      <c r="F155" s="20" t="n">
        <v>0.54</v>
      </c>
      <c r="G155" s="20" t="n">
        <v>0.54</v>
      </c>
      <c r="H155" s="26" t="n">
        <v>1</v>
      </c>
      <c r="I155" s="26" t="n">
        <v>1</v>
      </c>
      <c r="J155" s="26" t="n">
        <v>1</v>
      </c>
      <c r="K155" s="20" t="n">
        <v>0</v>
      </c>
      <c r="L155" s="20" t="n">
        <v>62.74</v>
      </c>
      <c r="M155" s="20" t="n">
        <v>0</v>
      </c>
      <c r="N155" s="20" t="n">
        <v>0</v>
      </c>
      <c r="O155" s="28" t="n">
        <v>0</v>
      </c>
      <c r="P155" s="20" t="n">
        <v>1</v>
      </c>
      <c r="Q155" s="20" t="n">
        <v>508.2127596</v>
      </c>
      <c r="R155" s="20" t="n">
        <v>1</v>
      </c>
      <c r="S155" s="20" t="n">
        <v>508</v>
      </c>
      <c r="U155" s="27" t="s">
        <v>145</v>
      </c>
      <c r="V155" s="28" t="n">
        <v>0</v>
      </c>
      <c r="W155" s="29" t="n">
        <f aca="false">D155/C155</f>
        <v>15.0246305418719</v>
      </c>
      <c r="X155" s="35"/>
      <c r="Y155" s="30" t="n">
        <v>8.09690787376474</v>
      </c>
      <c r="Z155" s="30" t="n">
        <v>8.10029900541919</v>
      </c>
      <c r="AA155" s="30" t="n">
        <v>0</v>
      </c>
      <c r="AB155" s="30" t="n">
        <v>0</v>
      </c>
      <c r="AD155" s="39" t="n">
        <v>2341.91</v>
      </c>
      <c r="AE155" s="30" t="n">
        <f aca="false">AD155*1000/C155/D155*145.038/SQRT(145.038*L155)</f>
        <v>5.75099470607958</v>
      </c>
      <c r="AF155" s="32" t="n">
        <f aca="false">AD155*1000/C155/D155</f>
        <v>3.78245982395219</v>
      </c>
    </row>
    <row r="156" customFormat="false" ht="25.5" hidden="false" customHeight="true" outlineLevel="0" collapsed="false">
      <c r="A156" s="42"/>
      <c r="B156" s="25" t="s">
        <v>216</v>
      </c>
      <c r="C156" s="26" t="n">
        <v>203</v>
      </c>
      <c r="D156" s="26" t="n">
        <v>3050</v>
      </c>
      <c r="E156" s="26" t="n">
        <v>1647</v>
      </c>
      <c r="F156" s="20" t="n">
        <v>0.54</v>
      </c>
      <c r="G156" s="20" t="n">
        <v>0.54</v>
      </c>
      <c r="H156" s="26" t="n">
        <v>1</v>
      </c>
      <c r="I156" s="26" t="n">
        <v>1</v>
      </c>
      <c r="J156" s="26" t="n">
        <v>1</v>
      </c>
      <c r="K156" s="20" t="n">
        <v>0</v>
      </c>
      <c r="L156" s="20" t="n">
        <v>69.91</v>
      </c>
      <c r="M156" s="20" t="n">
        <v>0</v>
      </c>
      <c r="N156" s="20" t="n">
        <v>0</v>
      </c>
      <c r="O156" s="28" t="n">
        <v>0</v>
      </c>
      <c r="P156" s="20" t="n">
        <v>0.67</v>
      </c>
      <c r="Q156" s="20" t="n">
        <v>508.2127596</v>
      </c>
      <c r="R156" s="20" t="n">
        <v>0.67</v>
      </c>
      <c r="S156" s="20" t="n">
        <v>508</v>
      </c>
      <c r="U156" s="13" t="s">
        <v>145</v>
      </c>
      <c r="V156" s="28" t="n">
        <v>0</v>
      </c>
      <c r="W156" s="29" t="n">
        <f aca="false">D156/C156</f>
        <v>15.0246305418719</v>
      </c>
      <c r="X156" s="35"/>
      <c r="Y156" s="30" t="n">
        <v>4.86854527249321</v>
      </c>
      <c r="Z156" s="30" t="n">
        <v>4.87058430742383</v>
      </c>
      <c r="AA156" s="30" t="n">
        <v>0</v>
      </c>
      <c r="AB156" s="30" t="n">
        <v>0</v>
      </c>
      <c r="AD156" s="39" t="n">
        <v>1888.194</v>
      </c>
      <c r="AE156" s="30" t="n">
        <f aca="false">AD156*1000/C156/D156*145.038/SQRT(145.038*L156)</f>
        <v>4.39260332681734</v>
      </c>
      <c r="AF156" s="32" t="n">
        <f aca="false">AD156*1000/C156/D156</f>
        <v>3.04965517241379</v>
      </c>
    </row>
    <row r="157" customFormat="false" ht="25.5" hidden="false" customHeight="true" outlineLevel="0" collapsed="false">
      <c r="A157" s="42"/>
      <c r="B157" s="25" t="s">
        <v>217</v>
      </c>
      <c r="C157" s="26" t="n">
        <v>203</v>
      </c>
      <c r="D157" s="26" t="n">
        <v>3050</v>
      </c>
      <c r="E157" s="26" t="n">
        <v>1647</v>
      </c>
      <c r="F157" s="20" t="n">
        <v>0.54</v>
      </c>
      <c r="G157" s="20" t="n">
        <v>0.54</v>
      </c>
      <c r="H157" s="26" t="n">
        <v>1</v>
      </c>
      <c r="I157" s="26" t="n">
        <v>1</v>
      </c>
      <c r="J157" s="26" t="n">
        <v>1</v>
      </c>
      <c r="K157" s="20" t="n">
        <v>0</v>
      </c>
      <c r="L157" s="20" t="n">
        <v>37.65</v>
      </c>
      <c r="M157" s="20" t="n">
        <v>0</v>
      </c>
      <c r="N157" s="20" t="n">
        <v>0</v>
      </c>
      <c r="O157" s="28" t="n">
        <v>0</v>
      </c>
      <c r="P157" s="20" t="n">
        <v>0.33</v>
      </c>
      <c r="Q157" s="20" t="n">
        <v>540.4815</v>
      </c>
      <c r="R157" s="20" t="n">
        <v>0.33</v>
      </c>
      <c r="S157" s="20" t="n">
        <v>542.54</v>
      </c>
      <c r="U157" s="13" t="s">
        <v>145</v>
      </c>
      <c r="V157" s="28" t="n">
        <v>0</v>
      </c>
      <c r="W157" s="29" t="n">
        <f aca="false">D157/C157</f>
        <v>15.0246305418719</v>
      </c>
      <c r="X157" s="35"/>
      <c r="Y157" s="30" t="n">
        <v>4.75533067729084</v>
      </c>
      <c r="Z157" s="30" t="n">
        <v>4.73728804780876</v>
      </c>
      <c r="AA157" s="30" t="n">
        <v>0</v>
      </c>
      <c r="AB157" s="30" t="n">
        <v>0</v>
      </c>
      <c r="AD157" s="39" t="n">
        <v>983.029</v>
      </c>
      <c r="AE157" s="30" t="n">
        <f aca="false">AD157*1000/C157/D157*145.038/SQRT(145.038*L157)</f>
        <v>3.11622540392306</v>
      </c>
      <c r="AF157" s="32" t="n">
        <f aca="false">AD157*1000/C157/D157</f>
        <v>1.58770734070904</v>
      </c>
    </row>
    <row r="158" customFormat="false" ht="25.5" hidden="false" customHeight="true" outlineLevel="0" collapsed="false">
      <c r="A158" s="42"/>
      <c r="B158" s="25" t="s">
        <v>218</v>
      </c>
      <c r="C158" s="26" t="n">
        <v>203</v>
      </c>
      <c r="D158" s="26" t="n">
        <v>3050</v>
      </c>
      <c r="E158" s="26" t="n">
        <v>1006</v>
      </c>
      <c r="F158" s="20" t="n">
        <v>0.33</v>
      </c>
      <c r="G158" s="20" t="n">
        <v>0.33</v>
      </c>
      <c r="H158" s="26" t="n">
        <v>1</v>
      </c>
      <c r="I158" s="26" t="n">
        <v>1</v>
      </c>
      <c r="J158" s="26" t="n">
        <v>1</v>
      </c>
      <c r="K158" s="20" t="n">
        <v>0</v>
      </c>
      <c r="L158" s="20" t="n">
        <v>38.54</v>
      </c>
      <c r="M158" s="20" t="n">
        <v>0</v>
      </c>
      <c r="N158" s="20" t="n">
        <v>0</v>
      </c>
      <c r="O158" s="28" t="n">
        <v>0</v>
      </c>
      <c r="P158" s="20" t="n">
        <v>1</v>
      </c>
      <c r="Q158" s="20" t="n">
        <v>508.2127596</v>
      </c>
      <c r="R158" s="20" t="n">
        <v>1</v>
      </c>
      <c r="S158" s="20" t="n">
        <v>542.54</v>
      </c>
      <c r="U158" s="13" t="s">
        <v>214</v>
      </c>
      <c r="V158" s="28" t="n">
        <v>0</v>
      </c>
      <c r="W158" s="29" t="n">
        <f aca="false">D158/C158</f>
        <v>15.0246305418719</v>
      </c>
      <c r="X158" s="35"/>
      <c r="Y158" s="30" t="n">
        <v>14.0773222625843</v>
      </c>
      <c r="Z158" s="30" t="n">
        <v>13.1866310223145</v>
      </c>
      <c r="AA158" s="30" t="n">
        <v>0</v>
      </c>
      <c r="AB158" s="30" t="n">
        <v>0</v>
      </c>
      <c r="AD158" s="39" t="n">
        <v>2831.2827</v>
      </c>
      <c r="AE158" s="30" t="n">
        <f aca="false">AD158*1000/C158/D158*145.038/SQRT(145.038*L158)</f>
        <v>8.87099642203247</v>
      </c>
      <c r="AF158" s="32" t="n">
        <f aca="false">AD158*1000/C158/D158</f>
        <v>4.57285423564564</v>
      </c>
    </row>
    <row r="159" customFormat="false" ht="25.5" hidden="false" customHeight="true" outlineLevel="0" collapsed="false">
      <c r="A159" s="42"/>
      <c r="B159" s="25" t="s">
        <v>219</v>
      </c>
      <c r="C159" s="26" t="n">
        <v>203</v>
      </c>
      <c r="D159" s="26" t="n">
        <v>3050</v>
      </c>
      <c r="E159" s="26" t="n">
        <v>1006</v>
      </c>
      <c r="F159" s="20" t="n">
        <v>0.33</v>
      </c>
      <c r="G159" s="20" t="n">
        <v>0.33</v>
      </c>
      <c r="H159" s="26" t="n">
        <v>1</v>
      </c>
      <c r="I159" s="26" t="n">
        <v>1</v>
      </c>
      <c r="J159" s="26" t="n">
        <v>1</v>
      </c>
      <c r="K159" s="20" t="n">
        <v>0</v>
      </c>
      <c r="L159" s="20" t="n">
        <v>34.06</v>
      </c>
      <c r="M159" s="20" t="n">
        <v>0</v>
      </c>
      <c r="N159" s="20" t="n">
        <v>0</v>
      </c>
      <c r="O159" s="28" t="n">
        <v>0</v>
      </c>
      <c r="P159" s="20" t="n">
        <v>0.67</v>
      </c>
      <c r="Q159" s="20" t="n">
        <v>508.2127596</v>
      </c>
      <c r="R159" s="20" t="n">
        <v>0.67</v>
      </c>
      <c r="S159" s="20" t="n">
        <v>542.54</v>
      </c>
      <c r="U159" s="13" t="s">
        <v>214</v>
      </c>
      <c r="V159" s="28" t="n">
        <v>0</v>
      </c>
      <c r="W159" s="29" t="n">
        <f aca="false">D159/C159</f>
        <v>15.0246305418719</v>
      </c>
      <c r="X159" s="35"/>
      <c r="Y159" s="30" t="n">
        <v>10.6723957721668</v>
      </c>
      <c r="Z159" s="30" t="n">
        <v>9.99713884122137</v>
      </c>
      <c r="AA159" s="30" t="n">
        <v>0</v>
      </c>
      <c r="AB159" s="30" t="n">
        <v>0</v>
      </c>
      <c r="AD159" s="39" t="n">
        <v>2184.1051</v>
      </c>
      <c r="AE159" s="30" t="n">
        <f aca="false">AD159*1000/C159/D159*145.038/SQRT(145.038*L159)</f>
        <v>7.27941090771975</v>
      </c>
      <c r="AF159" s="32" t="n">
        <f aca="false">AD159*1000/C159/D159</f>
        <v>3.5275863684083</v>
      </c>
    </row>
    <row r="160" customFormat="false" ht="25.5" hidden="false" customHeight="true" outlineLevel="0" collapsed="false">
      <c r="A160" s="42"/>
      <c r="B160" s="25" t="s">
        <v>220</v>
      </c>
      <c r="C160" s="26" t="n">
        <v>203</v>
      </c>
      <c r="D160" s="26" t="n">
        <v>3050</v>
      </c>
      <c r="E160" s="26" t="n">
        <v>1006</v>
      </c>
      <c r="F160" s="20" t="n">
        <v>0.33</v>
      </c>
      <c r="G160" s="20" t="n">
        <v>0.33</v>
      </c>
      <c r="H160" s="26" t="n">
        <v>1</v>
      </c>
      <c r="I160" s="26" t="n">
        <v>1</v>
      </c>
      <c r="J160" s="26" t="n">
        <v>1</v>
      </c>
      <c r="K160" s="20" t="n">
        <v>0</v>
      </c>
      <c r="L160" s="20" t="n">
        <v>34.06</v>
      </c>
      <c r="M160" s="20" t="n">
        <v>0</v>
      </c>
      <c r="N160" s="20" t="n">
        <v>0</v>
      </c>
      <c r="O160" s="28" t="n">
        <v>0</v>
      </c>
      <c r="P160" s="20" t="n">
        <v>0.33</v>
      </c>
      <c r="Q160" s="20" t="n">
        <v>540.4815</v>
      </c>
      <c r="R160" s="20" t="n">
        <v>0.33</v>
      </c>
      <c r="S160" s="20" t="n">
        <v>542.54</v>
      </c>
      <c r="U160" s="13" t="s">
        <v>214</v>
      </c>
      <c r="V160" s="28" t="n">
        <v>0</v>
      </c>
      <c r="W160" s="29" t="n">
        <f aca="false">D160/C160</f>
        <v>15.0246305418719</v>
      </c>
      <c r="X160" s="35"/>
      <c r="Y160" s="30" t="n">
        <v>5.25655314151497</v>
      </c>
      <c r="Z160" s="30" t="n">
        <v>5.23660877862595</v>
      </c>
      <c r="AA160" s="30" t="n">
        <v>0</v>
      </c>
      <c r="AB160" s="30" t="n">
        <v>0</v>
      </c>
      <c r="AD160" s="39" t="n">
        <v>1323.3257</v>
      </c>
      <c r="AE160" s="30" t="n">
        <f aca="false">AD160*1000/C160/D160*145.038/SQRT(145.038*L160)</f>
        <v>4.41051647882965</v>
      </c>
      <c r="AF160" s="32" t="n">
        <f aca="false">AD160*1000/C160/D160</f>
        <v>2.13732649600258</v>
      </c>
    </row>
    <row r="161" customFormat="false" ht="25.5" hidden="false" customHeight="true" outlineLevel="0" collapsed="false">
      <c r="A161" s="42"/>
      <c r="B161" s="25" t="s">
        <v>221</v>
      </c>
      <c r="C161" s="26" t="n">
        <v>203</v>
      </c>
      <c r="D161" s="26" t="n">
        <v>3050</v>
      </c>
      <c r="E161" s="26" t="n">
        <v>1647</v>
      </c>
      <c r="F161" s="20" t="n">
        <v>0.54</v>
      </c>
      <c r="G161" s="20" t="n">
        <v>0.54</v>
      </c>
      <c r="H161" s="26" t="n">
        <v>1</v>
      </c>
      <c r="I161" s="26" t="n">
        <v>1</v>
      </c>
      <c r="J161" s="26" t="n">
        <v>1</v>
      </c>
      <c r="K161" s="20" t="n">
        <v>0</v>
      </c>
      <c r="L161" s="20" t="n">
        <v>31.37</v>
      </c>
      <c r="M161" s="20" t="n">
        <v>0</v>
      </c>
      <c r="N161" s="20" t="n">
        <v>0</v>
      </c>
      <c r="O161" s="28" t="n">
        <v>0</v>
      </c>
      <c r="P161" s="20" t="n">
        <v>1.5</v>
      </c>
      <c r="Q161" s="20" t="n">
        <v>508.2127596</v>
      </c>
      <c r="R161" s="20" t="n">
        <v>1.5</v>
      </c>
      <c r="S161" s="20" t="n">
        <v>542.54</v>
      </c>
      <c r="U161" s="13" t="s">
        <v>214</v>
      </c>
      <c r="V161" s="28" t="n">
        <v>0</v>
      </c>
      <c r="W161" s="29" t="n">
        <f aca="false">D161/C161</f>
        <v>15.0246305418719</v>
      </c>
      <c r="X161" s="35"/>
      <c r="Y161" s="30" t="n">
        <v>25.9423015620019</v>
      </c>
      <c r="Z161" s="30" t="n">
        <v>24.3008970162576</v>
      </c>
      <c r="AA161" s="30" t="n">
        <v>0</v>
      </c>
      <c r="AB161" s="30" t="n">
        <v>0</v>
      </c>
      <c r="AD161" s="39" t="n">
        <v>2599.9586</v>
      </c>
      <c r="AE161" s="30" t="n">
        <f aca="false">AD161*1000/C161/D161*145.038/SQRT(145.038*L161)</f>
        <v>9.02930237944857</v>
      </c>
      <c r="AF161" s="32" t="n">
        <f aca="false">AD161*1000/C161/D161</f>
        <v>4.1992386336106</v>
      </c>
    </row>
    <row r="162" customFormat="false" ht="25.5" hidden="false" customHeight="true" outlineLevel="0" collapsed="false">
      <c r="A162" s="42"/>
      <c r="B162" s="25" t="s">
        <v>222</v>
      </c>
      <c r="C162" s="26" t="n">
        <v>203</v>
      </c>
      <c r="D162" s="26" t="n">
        <v>3050</v>
      </c>
      <c r="E162" s="26" t="n">
        <v>1647</v>
      </c>
      <c r="F162" s="20" t="n">
        <v>0.54</v>
      </c>
      <c r="G162" s="20" t="n">
        <v>0.54</v>
      </c>
      <c r="H162" s="26" t="n">
        <v>1</v>
      </c>
      <c r="I162" s="26" t="n">
        <v>1</v>
      </c>
      <c r="J162" s="26" t="n">
        <v>1</v>
      </c>
      <c r="K162" s="20" t="n">
        <v>0</v>
      </c>
      <c r="L162" s="20" t="n">
        <v>38.54</v>
      </c>
      <c r="M162" s="20" t="n">
        <v>0</v>
      </c>
      <c r="N162" s="20" t="n">
        <v>0</v>
      </c>
      <c r="O162" s="28" t="n">
        <v>0</v>
      </c>
      <c r="P162" s="20" t="n">
        <v>0.67</v>
      </c>
      <c r="Q162" s="20" t="n">
        <v>508.2127596</v>
      </c>
      <c r="R162" s="20" t="n">
        <v>1.5</v>
      </c>
      <c r="S162" s="20" t="n">
        <v>542.54</v>
      </c>
      <c r="U162" s="13" t="s">
        <v>214</v>
      </c>
      <c r="V162" s="28" t="n">
        <v>0</v>
      </c>
      <c r="W162" s="29" t="n">
        <f aca="false">D162/C162</f>
        <v>15.0246305418719</v>
      </c>
      <c r="X162" s="35"/>
      <c r="Y162" s="30" t="n">
        <v>21.1159833938765</v>
      </c>
      <c r="Z162" s="30" t="n">
        <v>8.8350427849507</v>
      </c>
      <c r="AA162" s="30" t="n">
        <v>0</v>
      </c>
      <c r="AB162" s="30" t="n">
        <v>0</v>
      </c>
      <c r="AD162" s="39" t="n">
        <v>2791.2503</v>
      </c>
      <c r="AE162" s="30" t="n">
        <f aca="false">AD162*1000/C162/D162*145.038/SQRT(145.038*L162)</f>
        <v>8.74556660283236</v>
      </c>
      <c r="AF162" s="32" t="n">
        <f aca="false">AD162*1000/C162/D162</f>
        <v>4.50819720584673</v>
      </c>
    </row>
    <row r="163" customFormat="false" ht="25.5" hidden="false" customHeight="true" outlineLevel="0" collapsed="false">
      <c r="A163" s="42"/>
      <c r="B163" s="25" t="s">
        <v>223</v>
      </c>
      <c r="C163" s="26" t="n">
        <v>203</v>
      </c>
      <c r="D163" s="26" t="n">
        <v>3050</v>
      </c>
      <c r="E163" s="26" t="n">
        <v>1647</v>
      </c>
      <c r="F163" s="20" t="n">
        <v>0.54</v>
      </c>
      <c r="G163" s="20" t="n">
        <v>0.54</v>
      </c>
      <c r="H163" s="26" t="n">
        <v>1</v>
      </c>
      <c r="I163" s="26" t="n">
        <v>1</v>
      </c>
      <c r="J163" s="26" t="n">
        <v>1</v>
      </c>
      <c r="K163" s="20" t="n">
        <v>0</v>
      </c>
      <c r="L163" s="20" t="n">
        <v>41.23</v>
      </c>
      <c r="M163" s="20" t="n">
        <v>0</v>
      </c>
      <c r="N163" s="20" t="n">
        <v>0</v>
      </c>
      <c r="O163" s="28" t="n">
        <v>0</v>
      </c>
      <c r="P163" s="20" t="n">
        <v>0.33</v>
      </c>
      <c r="Q163" s="20" t="n">
        <v>540.4815</v>
      </c>
      <c r="R163" s="20" t="n">
        <v>1.5</v>
      </c>
      <c r="S163" s="20" t="n">
        <v>542.54</v>
      </c>
      <c r="U163" s="13" t="s">
        <v>214</v>
      </c>
      <c r="V163" s="28" t="n">
        <v>0</v>
      </c>
      <c r="W163" s="29" t="n">
        <f aca="false">D163/C163</f>
        <v>15.0246305418719</v>
      </c>
      <c r="X163" s="35"/>
      <c r="Y163" s="30" t="n">
        <v>19.738297356294</v>
      </c>
      <c r="Z163" s="30" t="n">
        <v>4.32594943002668</v>
      </c>
      <c r="AA163" s="30" t="n">
        <v>0</v>
      </c>
      <c r="AB163" s="30" t="n">
        <v>0</v>
      </c>
      <c r="AD163" s="39" t="n">
        <v>2275.2248</v>
      </c>
      <c r="AE163" s="30" t="n">
        <f aca="false">AD163*1000/C163/D163*145.038/SQRT(145.038*L163)</f>
        <v>6.89227614405663</v>
      </c>
      <c r="AF163" s="32" t="n">
        <f aca="false">AD163*1000/C163/D163</f>
        <v>3.67475539045466</v>
      </c>
    </row>
    <row r="164" customFormat="false" ht="25.5" hidden="false" customHeight="true" outlineLevel="0" collapsed="false">
      <c r="A164" s="42"/>
      <c r="B164" s="25" t="s">
        <v>224</v>
      </c>
      <c r="C164" s="26" t="n">
        <v>203</v>
      </c>
      <c r="D164" s="26" t="n">
        <v>3050</v>
      </c>
      <c r="E164" s="26" t="n">
        <v>1647</v>
      </c>
      <c r="F164" s="20" t="n">
        <v>0.54</v>
      </c>
      <c r="G164" s="20" t="n">
        <v>0.54</v>
      </c>
      <c r="H164" s="26" t="n">
        <v>1</v>
      </c>
      <c r="I164" s="26" t="n">
        <v>1</v>
      </c>
      <c r="J164" s="26" t="n">
        <v>1</v>
      </c>
      <c r="K164" s="20" t="n">
        <v>0</v>
      </c>
      <c r="L164" s="20" t="n">
        <v>44.82</v>
      </c>
      <c r="M164" s="20" t="n">
        <v>1.5</v>
      </c>
      <c r="N164" s="20" t="n">
        <v>542.54</v>
      </c>
      <c r="O164" s="28" t="n">
        <v>1.5</v>
      </c>
      <c r="P164" s="20" t="n">
        <v>0.67</v>
      </c>
      <c r="Q164" s="20" t="n">
        <v>508.2127596</v>
      </c>
      <c r="R164" s="20" t="n">
        <v>0.67</v>
      </c>
      <c r="S164" s="20" t="n">
        <v>542.54</v>
      </c>
      <c r="U164" s="13" t="s">
        <v>214</v>
      </c>
      <c r="V164" s="28" t="n">
        <v>0.129180327868852</v>
      </c>
      <c r="W164" s="29" t="n">
        <f aca="false">D164/C164</f>
        <v>15.0246305418719</v>
      </c>
      <c r="X164" s="35"/>
      <c r="Y164" s="30" t="n">
        <v>8.1102588130299</v>
      </c>
      <c r="Z164" s="30" t="n">
        <v>7.59711175662651</v>
      </c>
      <c r="AA164" s="30" t="n">
        <v>18.1572958500669</v>
      </c>
      <c r="AB164" s="30" t="n">
        <v>18.1572958500669</v>
      </c>
      <c r="AD164" s="39" t="n">
        <v>1850.4328</v>
      </c>
      <c r="AE164" s="30" t="n">
        <f aca="false">AD164*1000/C164/D164*145.038/SQRT(145.038*L164)</f>
        <v>5.37628664582731</v>
      </c>
      <c r="AF164" s="32" t="n">
        <f aca="false">AD164*1000/C164/D164</f>
        <v>2.98866639748042</v>
      </c>
    </row>
    <row r="165" customFormat="false" ht="25.5" hidden="false" customHeight="true" outlineLevel="0" collapsed="false">
      <c r="A165" s="42"/>
      <c r="B165" s="25" t="s">
        <v>225</v>
      </c>
      <c r="C165" s="26" t="n">
        <v>203</v>
      </c>
      <c r="D165" s="26" t="n">
        <v>3050</v>
      </c>
      <c r="E165" s="26" t="n">
        <v>1647</v>
      </c>
      <c r="F165" s="20" t="n">
        <v>0.54</v>
      </c>
      <c r="G165" s="20" t="n">
        <v>0.54</v>
      </c>
      <c r="H165" s="26" t="n">
        <v>1</v>
      </c>
      <c r="I165" s="26" t="n">
        <v>1</v>
      </c>
      <c r="J165" s="26" t="n">
        <v>1</v>
      </c>
      <c r="K165" s="20" t="n">
        <v>0</v>
      </c>
      <c r="L165" s="20" t="n">
        <v>44.82</v>
      </c>
      <c r="M165" s="20" t="n">
        <v>2</v>
      </c>
      <c r="N165" s="20" t="n">
        <v>542.54</v>
      </c>
      <c r="O165" s="28" t="n">
        <v>2</v>
      </c>
      <c r="P165" s="20" t="n">
        <v>0.33</v>
      </c>
      <c r="Q165" s="20" t="n">
        <v>508.2127596</v>
      </c>
      <c r="R165" s="20" t="n">
        <v>0.33</v>
      </c>
      <c r="S165" s="20" t="n">
        <v>542.54</v>
      </c>
      <c r="U165" s="13" t="s">
        <v>214</v>
      </c>
      <c r="V165" s="28" t="n">
        <v>0.0967213114754098</v>
      </c>
      <c r="W165" s="29" t="n">
        <f aca="false">D165/C165</f>
        <v>15.0246305418719</v>
      </c>
      <c r="X165" s="35"/>
      <c r="Y165" s="30" t="n">
        <v>3.99460508701473</v>
      </c>
      <c r="Z165" s="30" t="n">
        <v>3.74186101445783</v>
      </c>
      <c r="AA165" s="30" t="n">
        <v>24.2097278000892</v>
      </c>
      <c r="AB165" s="30" t="n">
        <v>24.2097278000892</v>
      </c>
      <c r="AD165" s="39" t="n">
        <v>1737.0256</v>
      </c>
      <c r="AE165" s="30" t="n">
        <f aca="false">AD165*1000/C165/D165*145.038/SQRT(145.038*L165)</f>
        <v>5.04679096519483</v>
      </c>
      <c r="AF165" s="32" t="n">
        <f aca="false">AD165*1000/C165/D165</f>
        <v>2.80550044415731</v>
      </c>
    </row>
    <row r="166" customFormat="false" ht="25.5" hidden="false" customHeight="true" outlineLevel="0" collapsed="false">
      <c r="A166" s="42" t="s">
        <v>226</v>
      </c>
      <c r="B166" s="25" t="s">
        <v>227</v>
      </c>
      <c r="C166" s="26" t="n">
        <v>100</v>
      </c>
      <c r="D166" s="26" t="n">
        <v>1500</v>
      </c>
      <c r="E166" s="26" t="n">
        <v>1000</v>
      </c>
      <c r="F166" s="13" t="n">
        <v>0.67</v>
      </c>
      <c r="G166" s="20" t="n">
        <v>0.666666666666667</v>
      </c>
      <c r="H166" s="26" t="n">
        <v>3</v>
      </c>
      <c r="I166" s="26" t="n">
        <v>1</v>
      </c>
      <c r="J166" s="26" t="n">
        <v>1</v>
      </c>
      <c r="K166" s="43" t="n">
        <v>0.0047936775280171</v>
      </c>
      <c r="L166" s="20" t="n">
        <v>35.9</v>
      </c>
      <c r="M166" s="20" t="n">
        <v>1.256</v>
      </c>
      <c r="N166" s="20" t="n">
        <v>554</v>
      </c>
      <c r="O166" s="20" t="n">
        <v>0.71</v>
      </c>
      <c r="P166" s="20" t="n">
        <v>0.7065</v>
      </c>
      <c r="Q166" s="20" t="n">
        <v>335</v>
      </c>
      <c r="R166" s="20" t="n">
        <v>0.97</v>
      </c>
      <c r="S166" s="20" t="n">
        <v>554</v>
      </c>
      <c r="U166" s="27"/>
      <c r="V166" s="28" t="n">
        <v>0.348837209302326</v>
      </c>
      <c r="W166" s="29" t="n">
        <f aca="false">D166/C166</f>
        <v>15</v>
      </c>
      <c r="X166" s="13"/>
      <c r="Y166" s="30" t="n">
        <v>14.9688022284123</v>
      </c>
      <c r="Z166" s="30" t="n">
        <v>6.59268802228412</v>
      </c>
      <c r="AA166" s="30" t="n">
        <v>6.62534818941504</v>
      </c>
      <c r="AB166" s="30" t="n">
        <v>19.3822841225627</v>
      </c>
      <c r="AD166" s="39" t="n">
        <v>863.4685</v>
      </c>
      <c r="AE166" s="30" t="n">
        <f aca="false">AD166*1000/C166/D166*145.038/SQRT(145.038*L166)</f>
        <v>11.5704144790048</v>
      </c>
      <c r="AF166" s="32" t="n">
        <f aca="false">AD166*1000/C166/D166</f>
        <v>5.75645666666667</v>
      </c>
    </row>
    <row r="167" customFormat="false" ht="25.5" hidden="false" customHeight="true" outlineLevel="0" collapsed="false">
      <c r="A167" s="42"/>
      <c r="B167" s="25" t="s">
        <v>228</v>
      </c>
      <c r="C167" s="26" t="n">
        <v>100</v>
      </c>
      <c r="D167" s="26" t="n">
        <v>1500</v>
      </c>
      <c r="E167" s="26" t="n">
        <v>1000</v>
      </c>
      <c r="F167" s="13" t="n">
        <v>0.67</v>
      </c>
      <c r="G167" s="20" t="n">
        <v>0.666666666666667</v>
      </c>
      <c r="H167" s="26" t="n">
        <v>3</v>
      </c>
      <c r="I167" s="26" t="n">
        <v>1</v>
      </c>
      <c r="J167" s="26" t="n">
        <v>1</v>
      </c>
      <c r="K167" s="43" t="n">
        <v>0.0501392757660167</v>
      </c>
      <c r="L167" s="20" t="n">
        <v>35.9</v>
      </c>
      <c r="M167" s="20" t="n">
        <v>1.256</v>
      </c>
      <c r="N167" s="20" t="n">
        <v>554</v>
      </c>
      <c r="O167" s="20" t="n">
        <v>0.71</v>
      </c>
      <c r="P167" s="20" t="n">
        <v>0.7065</v>
      </c>
      <c r="Q167" s="20" t="n">
        <v>335</v>
      </c>
      <c r="R167" s="20" t="n">
        <v>0.97</v>
      </c>
      <c r="S167" s="20" t="n">
        <v>554</v>
      </c>
      <c r="U167" s="27"/>
      <c r="V167" s="28" t="n">
        <v>0.348837209302326</v>
      </c>
      <c r="W167" s="29" t="n">
        <f aca="false">D167/C167</f>
        <v>15</v>
      </c>
      <c r="X167" s="13"/>
      <c r="Y167" s="30" t="n">
        <v>14.9688022284123</v>
      </c>
      <c r="Z167" s="30" t="n">
        <v>6.59268802228412</v>
      </c>
      <c r="AA167" s="30" t="n">
        <v>6.62534818941504</v>
      </c>
      <c r="AB167" s="30" t="n">
        <v>19.3822841225627</v>
      </c>
      <c r="AD167" s="39" t="n">
        <v>1000.61538461538</v>
      </c>
      <c r="AE167" s="30" t="n">
        <f aca="false">AD167*1000/C167/D167*145.038/SQRT(145.038*L167)</f>
        <v>13.408172659534</v>
      </c>
      <c r="AF167" s="32" t="n">
        <f aca="false">AD167*1000/C167/D167</f>
        <v>6.67076923076923</v>
      </c>
    </row>
    <row r="168" customFormat="false" ht="25.5" hidden="false" customHeight="true" outlineLevel="0" collapsed="false">
      <c r="A168" s="33" t="s">
        <v>229</v>
      </c>
      <c r="B168" s="34" t="s">
        <v>230</v>
      </c>
      <c r="C168" s="26" t="n">
        <v>152</v>
      </c>
      <c r="D168" s="26" t="n">
        <v>1370</v>
      </c>
      <c r="E168" s="26" t="n">
        <v>1220</v>
      </c>
      <c r="F168" s="20" t="n">
        <v>0.44</v>
      </c>
      <c r="G168" s="20" t="n">
        <v>0.89051094890511</v>
      </c>
      <c r="H168" s="26" t="n">
        <v>1</v>
      </c>
      <c r="I168" s="26" t="n">
        <v>1</v>
      </c>
      <c r="J168" s="26" t="n">
        <v>2</v>
      </c>
      <c r="K168" s="20" t="n">
        <v>0</v>
      </c>
      <c r="L168" s="20" t="n">
        <v>29.9</v>
      </c>
      <c r="M168" s="20" t="n">
        <v>1.36374383223684</v>
      </c>
      <c r="N168" s="20" t="n">
        <v>424</v>
      </c>
      <c r="O168" s="20" t="n">
        <v>0</v>
      </c>
      <c r="P168" s="20" t="n">
        <v>0.286162640207075</v>
      </c>
      <c r="Q168" s="20" t="n">
        <v>424</v>
      </c>
      <c r="R168" s="20" t="n">
        <v>0.2644836523126</v>
      </c>
      <c r="S168" s="20" t="n">
        <v>424</v>
      </c>
      <c r="U168" s="35"/>
      <c r="V168" s="28" t="n">
        <v>0.0934306569343066</v>
      </c>
      <c r="W168" s="29" t="n">
        <f aca="false">D168/C168</f>
        <v>9.01315789473684</v>
      </c>
      <c r="X168" s="35"/>
      <c r="Y168" s="30" t="n">
        <v>3.75053741072048</v>
      </c>
      <c r="Z168" s="30" t="n">
        <v>4.05795850995986</v>
      </c>
      <c r="AA168" s="30" t="n">
        <v>0</v>
      </c>
      <c r="AB168" s="30" t="n">
        <v>19.3387085240275</v>
      </c>
      <c r="AD168" s="28" t="n">
        <v>404.32</v>
      </c>
      <c r="AE168" s="30" t="n">
        <f aca="false">AD168*1000/C168/D168*145.038/SQRT(145.038*L168)</f>
        <v>4.27628238831865</v>
      </c>
      <c r="AF168" s="32" t="n">
        <f aca="false">AD168*1000/C168/D168</f>
        <v>1.94160583941606</v>
      </c>
    </row>
    <row r="169" customFormat="false" ht="25.5" hidden="false" customHeight="true" outlineLevel="0" collapsed="false">
      <c r="A169" s="33"/>
      <c r="B169" s="34" t="s">
        <v>231</v>
      </c>
      <c r="C169" s="26" t="n">
        <v>152</v>
      </c>
      <c r="D169" s="26" t="n">
        <v>1370</v>
      </c>
      <c r="E169" s="26" t="n">
        <v>1220</v>
      </c>
      <c r="F169" s="20" t="n">
        <v>0.44</v>
      </c>
      <c r="G169" s="20" t="n">
        <v>0.89051094890511</v>
      </c>
      <c r="H169" s="26" t="n">
        <v>1</v>
      </c>
      <c r="I169" s="26" t="n">
        <v>1</v>
      </c>
      <c r="J169" s="26" t="n">
        <v>2</v>
      </c>
      <c r="K169" s="20" t="n">
        <v>0</v>
      </c>
      <c r="L169" s="20" t="n">
        <v>31</v>
      </c>
      <c r="M169" s="20" t="n">
        <v>1.36374383223684</v>
      </c>
      <c r="N169" s="20" t="n">
        <v>424</v>
      </c>
      <c r="O169" s="20" t="n">
        <v>0</v>
      </c>
      <c r="P169" s="20" t="n">
        <v>0.286162640207075</v>
      </c>
      <c r="Q169" s="20" t="n">
        <v>424</v>
      </c>
      <c r="R169" s="20" t="n">
        <v>0.2644836523126</v>
      </c>
      <c r="S169" s="20" t="n">
        <v>424</v>
      </c>
      <c r="U169" s="35"/>
      <c r="V169" s="28" t="n">
        <v>0.0934306569343066</v>
      </c>
      <c r="W169" s="29" t="n">
        <f aca="false">D169/C169</f>
        <v>9.01315789473684</v>
      </c>
      <c r="X169" s="35"/>
      <c r="Y169" s="30" t="n">
        <v>3.61745382517878</v>
      </c>
      <c r="Z169" s="30" t="n">
        <v>3.91396643379999</v>
      </c>
      <c r="AA169" s="30" t="n">
        <v>0</v>
      </c>
      <c r="AB169" s="30" t="n">
        <v>18.6524962860781</v>
      </c>
      <c r="AD169" s="28" t="n">
        <v>323.065</v>
      </c>
      <c r="AE169" s="30" t="n">
        <f aca="false">AD169*1000/C169/D169*145.038/SQRT(145.038*L169)</f>
        <v>3.35572071979467</v>
      </c>
      <c r="AF169" s="32" t="n">
        <f aca="false">AD169*1000/C169/D169</f>
        <v>1.5514070303496</v>
      </c>
    </row>
    <row r="170" customFormat="false" ht="25.5" hidden="false" customHeight="true" outlineLevel="0" collapsed="false">
      <c r="A170" s="33"/>
      <c r="B170" s="34" t="s">
        <v>232</v>
      </c>
      <c r="C170" s="26" t="n">
        <v>152</v>
      </c>
      <c r="D170" s="26" t="n">
        <v>1370</v>
      </c>
      <c r="E170" s="26" t="n">
        <v>1220</v>
      </c>
      <c r="F170" s="20" t="n">
        <v>0.44</v>
      </c>
      <c r="G170" s="20" t="n">
        <v>0.89051094890511</v>
      </c>
      <c r="H170" s="26" t="n">
        <v>1</v>
      </c>
      <c r="I170" s="26" t="n">
        <v>1</v>
      </c>
      <c r="J170" s="26" t="n">
        <v>2</v>
      </c>
      <c r="K170" s="20" t="n">
        <v>0.05</v>
      </c>
      <c r="L170" s="20" t="n">
        <v>32</v>
      </c>
      <c r="M170" s="20" t="n">
        <v>1.36374383223684</v>
      </c>
      <c r="N170" s="20" t="n">
        <v>424</v>
      </c>
      <c r="O170" s="20" t="n">
        <v>0</v>
      </c>
      <c r="P170" s="20" t="n">
        <v>0.286162640207075</v>
      </c>
      <c r="Q170" s="20" t="n">
        <v>424</v>
      </c>
      <c r="R170" s="20" t="n">
        <v>0.2644836523126</v>
      </c>
      <c r="S170" s="20" t="n">
        <v>424</v>
      </c>
      <c r="U170" s="35"/>
      <c r="V170" s="28" t="n">
        <v>0.0934306569343066</v>
      </c>
      <c r="W170" s="29" t="n">
        <f aca="false">D170/C170</f>
        <v>9.01315789473684</v>
      </c>
      <c r="X170" s="35"/>
      <c r="Y170" s="30" t="n">
        <v>3.50440839314195</v>
      </c>
      <c r="Z170" s="30" t="n">
        <v>3.79165498274374</v>
      </c>
      <c r="AA170" s="30" t="n">
        <v>0</v>
      </c>
      <c r="AB170" s="30" t="n">
        <v>18.0696057771382</v>
      </c>
      <c r="AD170" s="28" t="n">
        <v>682.5</v>
      </c>
      <c r="AE170" s="30" t="n">
        <f aca="false">AD170*1000/C170/D170*145.038/SQRT(145.038*L170)</f>
        <v>6.97757338324607</v>
      </c>
      <c r="AF170" s="32" t="n">
        <f aca="false">AD170*1000/C170/D170</f>
        <v>3.277468305801</v>
      </c>
    </row>
    <row r="171" customFormat="false" ht="25.5" hidden="false" customHeight="true" outlineLevel="0" collapsed="false">
      <c r="A171" s="33"/>
      <c r="B171" s="34" t="s">
        <v>233</v>
      </c>
      <c r="C171" s="26" t="n">
        <v>152</v>
      </c>
      <c r="D171" s="26" t="n">
        <v>1370</v>
      </c>
      <c r="E171" s="26" t="n">
        <v>1220</v>
      </c>
      <c r="F171" s="20" t="n">
        <v>0.44</v>
      </c>
      <c r="G171" s="20" t="n">
        <v>0.89051094890511</v>
      </c>
      <c r="H171" s="26" t="n">
        <v>1</v>
      </c>
      <c r="I171" s="26" t="n">
        <v>1</v>
      </c>
      <c r="J171" s="26" t="n">
        <v>2</v>
      </c>
      <c r="K171" s="20" t="n">
        <v>0.1</v>
      </c>
      <c r="L171" s="20" t="n">
        <v>28.3</v>
      </c>
      <c r="M171" s="20" t="n">
        <v>1.36374383223684</v>
      </c>
      <c r="N171" s="20" t="n">
        <v>424</v>
      </c>
      <c r="O171" s="20" t="n">
        <v>0</v>
      </c>
      <c r="P171" s="20" t="n">
        <v>0.286162640207075</v>
      </c>
      <c r="Q171" s="20" t="n">
        <v>424</v>
      </c>
      <c r="R171" s="20" t="n">
        <v>0.2644836523126</v>
      </c>
      <c r="S171" s="20" t="n">
        <v>424</v>
      </c>
      <c r="U171" s="35"/>
      <c r="V171" s="28" t="n">
        <v>0.0934306569343066</v>
      </c>
      <c r="W171" s="29" t="n">
        <f aca="false">D171/C171</f>
        <v>9.01315789473684</v>
      </c>
      <c r="X171" s="35"/>
      <c r="Y171" s="30" t="n">
        <v>3.96258192864107</v>
      </c>
      <c r="Z171" s="30" t="n">
        <v>4.28738372607067</v>
      </c>
      <c r="AA171" s="30" t="n">
        <v>0</v>
      </c>
      <c r="AB171" s="30" t="n">
        <v>20.4320630695555</v>
      </c>
      <c r="AD171" s="28" t="n">
        <v>751.75</v>
      </c>
      <c r="AE171" s="30" t="n">
        <f aca="false">AD171*1000/C171/D171*145.038/SQRT(145.038*L171)</f>
        <v>8.1725383108698</v>
      </c>
      <c r="AF171" s="32" t="n">
        <f aca="false">AD171*1000/C171/D171</f>
        <v>3.61001728774491</v>
      </c>
    </row>
    <row r="172" customFormat="false" ht="25.5" hidden="false" customHeight="true" outlineLevel="0" collapsed="false">
      <c r="A172" s="33"/>
      <c r="B172" s="34" t="s">
        <v>234</v>
      </c>
      <c r="C172" s="26" t="n">
        <v>152</v>
      </c>
      <c r="D172" s="26" t="n">
        <v>1370</v>
      </c>
      <c r="E172" s="26" t="n">
        <v>1220</v>
      </c>
      <c r="F172" s="20" t="n">
        <v>0.44</v>
      </c>
      <c r="G172" s="20" t="n">
        <v>0.89051094890511</v>
      </c>
      <c r="H172" s="26" t="n">
        <v>1</v>
      </c>
      <c r="I172" s="26" t="n">
        <v>1</v>
      </c>
      <c r="J172" s="26" t="n">
        <v>2</v>
      </c>
      <c r="K172" s="20" t="n">
        <v>0.1</v>
      </c>
      <c r="L172" s="20" t="n">
        <v>31.4</v>
      </c>
      <c r="M172" s="20" t="n">
        <v>1.36374383223684</v>
      </c>
      <c r="N172" s="20" t="n">
        <v>424</v>
      </c>
      <c r="O172" s="20" t="n">
        <v>0</v>
      </c>
      <c r="P172" s="20" t="n">
        <v>0.286162640207075</v>
      </c>
      <c r="Q172" s="20" t="n">
        <v>424</v>
      </c>
      <c r="R172" s="20" t="n">
        <v>0.2644836523126</v>
      </c>
      <c r="S172" s="20" t="n">
        <v>424</v>
      </c>
      <c r="U172" s="35"/>
      <c r="V172" s="28" t="n">
        <v>0.0934306569343066</v>
      </c>
      <c r="W172" s="29" t="n">
        <f aca="false">D172/C172</f>
        <v>9.01315789473684</v>
      </c>
      <c r="X172" s="35"/>
      <c r="Y172" s="30" t="n">
        <v>3.5713716108453</v>
      </c>
      <c r="Z172" s="30" t="n">
        <v>3.86410698878343</v>
      </c>
      <c r="AA172" s="30" t="n">
        <v>0</v>
      </c>
      <c r="AB172" s="30" t="n">
        <v>18.4148848684211</v>
      </c>
      <c r="AD172" s="28" t="n">
        <v>818</v>
      </c>
      <c r="AE172" s="30" t="n">
        <f aca="false">AD172*1000/C172/D172*145.038/SQRT(145.038*L172)</f>
        <v>8.44238640445947</v>
      </c>
      <c r="AF172" s="32" t="n">
        <f aca="false">AD172*1000/C172/D172</f>
        <v>3.92815981559739</v>
      </c>
    </row>
    <row r="173" customFormat="false" ht="25.5" hidden="false" customHeight="true" outlineLevel="0" collapsed="false">
      <c r="A173" s="42" t="s">
        <v>235</v>
      </c>
      <c r="B173" s="25" t="s">
        <v>236</v>
      </c>
      <c r="C173" s="26" t="n">
        <v>70</v>
      </c>
      <c r="D173" s="26" t="n">
        <v>860</v>
      </c>
      <c r="E173" s="26" t="n">
        <v>500</v>
      </c>
      <c r="F173" s="20" t="n">
        <v>0.581395348837209</v>
      </c>
      <c r="G173" s="20" t="n">
        <v>0.581395348837209</v>
      </c>
      <c r="H173" s="26" t="n">
        <v>3</v>
      </c>
      <c r="I173" s="26" t="n">
        <v>1</v>
      </c>
      <c r="J173" s="26" t="n">
        <v>1</v>
      </c>
      <c r="K173" s="13" t="n">
        <v>0</v>
      </c>
      <c r="L173" s="20" t="n">
        <v>18</v>
      </c>
      <c r="M173" s="20" t="n">
        <v>2.1</v>
      </c>
      <c r="N173" s="20" t="n">
        <v>322.686</v>
      </c>
      <c r="O173" s="20" t="n">
        <v>1.78139348120214</v>
      </c>
      <c r="P173" s="20" t="n">
        <v>0.9</v>
      </c>
      <c r="Q173" s="20" t="n">
        <v>322.686</v>
      </c>
      <c r="R173" s="20" t="n">
        <v>0.52</v>
      </c>
      <c r="S173" s="20" t="n">
        <v>322.686</v>
      </c>
      <c r="U173" s="27"/>
      <c r="V173" s="28" t="n">
        <v>0.178477690288714</v>
      </c>
      <c r="W173" s="29" t="n">
        <f aca="false">D173/C173</f>
        <v>12.2857142857143</v>
      </c>
      <c r="X173" s="13"/>
      <c r="Y173" s="30" t="n">
        <v>9.32204</v>
      </c>
      <c r="Z173" s="30" t="n">
        <v>16.1343</v>
      </c>
      <c r="AA173" s="30" t="n">
        <v>31.9350409375108</v>
      </c>
      <c r="AB173" s="30" t="n">
        <v>37.6467</v>
      </c>
      <c r="AD173" s="51" t="n">
        <v>193</v>
      </c>
      <c r="AE173" s="30" t="n">
        <f aca="false">AD173*1000/C173/D173*145.038/SQRT(145.038*L173)</f>
        <v>9.10050445105302</v>
      </c>
      <c r="AF173" s="32" t="n">
        <f aca="false">AD173*1000/C173/D173</f>
        <v>3.20598006644518</v>
      </c>
    </row>
    <row r="174" customFormat="false" ht="25.5" hidden="false" customHeight="true" outlineLevel="0" collapsed="false">
      <c r="A174" s="42"/>
      <c r="B174" s="49" t="s">
        <v>237</v>
      </c>
      <c r="C174" s="26" t="n">
        <v>70</v>
      </c>
      <c r="D174" s="26" t="n">
        <v>860</v>
      </c>
      <c r="E174" s="26" t="n">
        <v>500</v>
      </c>
      <c r="F174" s="20" t="n">
        <v>0.581395348837209</v>
      </c>
      <c r="G174" s="20" t="n">
        <v>0.581395348837209</v>
      </c>
      <c r="H174" s="26" t="n">
        <v>3</v>
      </c>
      <c r="I174" s="26" t="n">
        <v>1</v>
      </c>
      <c r="J174" s="26" t="n">
        <v>1</v>
      </c>
      <c r="K174" s="13" t="n">
        <v>0</v>
      </c>
      <c r="L174" s="20" t="n">
        <v>18</v>
      </c>
      <c r="M174" s="20" t="n">
        <v>2.1</v>
      </c>
      <c r="N174" s="20" t="n">
        <v>322.686</v>
      </c>
      <c r="O174" s="20" t="n">
        <v>1.78139348120214</v>
      </c>
      <c r="P174" s="20" t="n">
        <v>0.9</v>
      </c>
      <c r="Q174" s="20" t="n">
        <v>322.686</v>
      </c>
      <c r="R174" s="20" t="n">
        <v>0.52</v>
      </c>
      <c r="S174" s="20" t="n">
        <v>322.686</v>
      </c>
      <c r="U174" s="27"/>
      <c r="V174" s="28" t="n">
        <v>0.178477690288714</v>
      </c>
      <c r="W174" s="29" t="n">
        <f aca="false">D174/C174</f>
        <v>12.2857142857143</v>
      </c>
      <c r="X174" s="13"/>
      <c r="Y174" s="30" t="n">
        <v>9.32204</v>
      </c>
      <c r="Z174" s="30" t="n">
        <v>16.1343</v>
      </c>
      <c r="AA174" s="30" t="n">
        <v>31.9350409375108</v>
      </c>
      <c r="AB174" s="30" t="n">
        <v>37.6467</v>
      </c>
      <c r="AD174" s="51" t="n">
        <v>217</v>
      </c>
      <c r="AE174" s="30" t="n">
        <f aca="false">AD174*1000/C174/D174*145.038/SQRT(145.038*L174)</f>
        <v>10.2321733983342</v>
      </c>
      <c r="AF174" s="32" t="n">
        <f aca="false">AD174*1000/C174/D174</f>
        <v>3.6046511627907</v>
      </c>
    </row>
    <row r="175" customFormat="false" ht="25.5" hidden="false" customHeight="true" outlineLevel="0" collapsed="false">
      <c r="A175" s="42"/>
      <c r="B175" s="49" t="s">
        <v>238</v>
      </c>
      <c r="C175" s="26" t="n">
        <v>70</v>
      </c>
      <c r="D175" s="26" t="n">
        <v>860</v>
      </c>
      <c r="E175" s="26" t="n">
        <v>500</v>
      </c>
      <c r="F175" s="20" t="n">
        <v>0.581395348837209</v>
      </c>
      <c r="G175" s="20" t="n">
        <v>0.581395348837209</v>
      </c>
      <c r="H175" s="26" t="n">
        <v>3</v>
      </c>
      <c r="I175" s="26" t="n">
        <v>1</v>
      </c>
      <c r="J175" s="26" t="n">
        <v>1</v>
      </c>
      <c r="K175" s="13" t="n">
        <v>0</v>
      </c>
      <c r="L175" s="20" t="n">
        <v>29.7</v>
      </c>
      <c r="M175" s="20" t="n">
        <v>2.1</v>
      </c>
      <c r="N175" s="20" t="n">
        <v>322.686</v>
      </c>
      <c r="O175" s="20" t="n">
        <v>1.78139348120214</v>
      </c>
      <c r="P175" s="20" t="n">
        <v>0.9</v>
      </c>
      <c r="Q175" s="20" t="n">
        <v>322.686</v>
      </c>
      <c r="R175" s="20" t="n">
        <v>0.52</v>
      </c>
      <c r="S175" s="20" t="n">
        <v>322.686</v>
      </c>
      <c r="U175" s="27"/>
      <c r="V175" s="28" t="n">
        <v>0.178477690288714</v>
      </c>
      <c r="W175" s="29" t="n">
        <f aca="false">D175/C175</f>
        <v>12.2857142857143</v>
      </c>
      <c r="X175" s="13"/>
      <c r="Y175" s="30" t="n">
        <v>5.64972121212121</v>
      </c>
      <c r="Z175" s="30" t="n">
        <v>9.77836363636364</v>
      </c>
      <c r="AA175" s="30" t="n">
        <v>19.3545702651581</v>
      </c>
      <c r="AB175" s="30" t="n">
        <v>22.8161818181818</v>
      </c>
      <c r="AD175" s="51" t="n">
        <v>203</v>
      </c>
      <c r="AE175" s="30" t="n">
        <f aca="false">AD175*1000/C175/D175*145.038/SQRT(145.038*L175)</f>
        <v>7.45181772339818</v>
      </c>
      <c r="AF175" s="32" t="n">
        <f aca="false">AD175*1000/C175/D175</f>
        <v>3.37209302325581</v>
      </c>
    </row>
    <row r="176" customFormat="false" ht="25.5" hidden="false" customHeight="true" outlineLevel="0" collapsed="false">
      <c r="A176" s="42"/>
      <c r="B176" s="25" t="s">
        <v>239</v>
      </c>
      <c r="C176" s="26" t="n">
        <v>70</v>
      </c>
      <c r="D176" s="26" t="n">
        <v>860</v>
      </c>
      <c r="E176" s="26" t="n">
        <v>500</v>
      </c>
      <c r="F176" s="20" t="n">
        <v>0.581395348837209</v>
      </c>
      <c r="G176" s="20" t="n">
        <v>0.581395348837209</v>
      </c>
      <c r="H176" s="26" t="n">
        <v>3</v>
      </c>
      <c r="I176" s="26" t="n">
        <v>1</v>
      </c>
      <c r="J176" s="26" t="n">
        <v>1</v>
      </c>
      <c r="K176" s="13" t="n">
        <v>0</v>
      </c>
      <c r="L176" s="20" t="n">
        <v>30.7</v>
      </c>
      <c r="M176" s="20" t="n">
        <v>2.1</v>
      </c>
      <c r="N176" s="20" t="n">
        <v>484.029</v>
      </c>
      <c r="O176" s="20" t="n">
        <v>1.78139348120214</v>
      </c>
      <c r="P176" s="20" t="n">
        <v>0.9</v>
      </c>
      <c r="Q176" s="20" t="n">
        <v>484.029</v>
      </c>
      <c r="R176" s="20" t="n">
        <v>0.52</v>
      </c>
      <c r="S176" s="20" t="n">
        <v>484.029</v>
      </c>
      <c r="U176" s="27"/>
      <c r="V176" s="28" t="n">
        <v>0.178477690288714</v>
      </c>
      <c r="W176" s="29" t="n">
        <f aca="false">D176/C176</f>
        <v>12.2857142857143</v>
      </c>
      <c r="X176" s="13"/>
      <c r="Y176" s="30" t="n">
        <v>8.19853680781759</v>
      </c>
      <c r="Z176" s="30" t="n">
        <v>14.1897752442997</v>
      </c>
      <c r="AA176" s="30" t="n">
        <v>28.0861923554655</v>
      </c>
      <c r="AB176" s="30" t="n">
        <v>33.1094755700326</v>
      </c>
      <c r="AD176" s="51" t="n">
        <v>246</v>
      </c>
      <c r="AE176" s="30" t="n">
        <f aca="false">AD176*1000/C176/D176*145.038/SQRT(145.038*L176)</f>
        <v>8.88199101121724</v>
      </c>
      <c r="AF176" s="32" t="n">
        <f aca="false">AD176*1000/C176/D176</f>
        <v>4.08637873754153</v>
      </c>
    </row>
    <row r="177" customFormat="false" ht="25.5" hidden="false" customHeight="true" outlineLevel="0" collapsed="false">
      <c r="A177" s="42"/>
      <c r="B177" s="49" t="s">
        <v>240</v>
      </c>
      <c r="C177" s="26" t="n">
        <v>70</v>
      </c>
      <c r="D177" s="26" t="n">
        <v>860</v>
      </c>
      <c r="E177" s="26" t="n">
        <v>500</v>
      </c>
      <c r="F177" s="20" t="n">
        <v>0.581395348837209</v>
      </c>
      <c r="G177" s="20" t="n">
        <v>0.581395348837209</v>
      </c>
      <c r="H177" s="26" t="n">
        <v>3</v>
      </c>
      <c r="I177" s="26" t="n">
        <v>1</v>
      </c>
      <c r="J177" s="26" t="n">
        <v>1</v>
      </c>
      <c r="K177" s="13" t="n">
        <v>0</v>
      </c>
      <c r="L177" s="20" t="n">
        <v>30.2</v>
      </c>
      <c r="M177" s="20" t="n">
        <v>2.1</v>
      </c>
      <c r="N177" s="20" t="n">
        <v>484.029</v>
      </c>
      <c r="O177" s="20" t="n">
        <v>1.78139348120214</v>
      </c>
      <c r="P177" s="20" t="n">
        <v>0.9</v>
      </c>
      <c r="Q177" s="20" t="n">
        <v>484.029</v>
      </c>
      <c r="R177" s="20" t="n">
        <v>0.52</v>
      </c>
      <c r="S177" s="20" t="n">
        <v>484.029</v>
      </c>
      <c r="U177" s="27"/>
      <c r="V177" s="28" t="n">
        <v>0.178477690288714</v>
      </c>
      <c r="W177" s="29" t="n">
        <f aca="false">D177/C177</f>
        <v>12.2857142857143</v>
      </c>
      <c r="X177" s="13"/>
      <c r="Y177" s="30" t="n">
        <v>8.33427417218543</v>
      </c>
      <c r="Z177" s="30" t="n">
        <v>14.4247052980132</v>
      </c>
      <c r="AA177" s="30" t="n">
        <v>28.5511955401586</v>
      </c>
      <c r="AB177" s="30" t="n">
        <v>33.6576456953642</v>
      </c>
      <c r="AD177" s="51" t="n">
        <v>200</v>
      </c>
      <c r="AE177" s="30" t="n">
        <f aca="false">AD177*1000/C177/D177*145.038/SQRT(145.038*L177)</f>
        <v>7.28066308065842</v>
      </c>
      <c r="AF177" s="32" t="n">
        <f aca="false">AD177*1000/C177/D177</f>
        <v>3.32225913621263</v>
      </c>
    </row>
    <row r="178" customFormat="false" ht="25.5" hidden="false" customHeight="true" outlineLevel="0" collapsed="false">
      <c r="A178" s="42"/>
      <c r="B178" s="49" t="s">
        <v>241</v>
      </c>
      <c r="C178" s="26" t="n">
        <v>70</v>
      </c>
      <c r="D178" s="26" t="n">
        <v>860</v>
      </c>
      <c r="E178" s="26" t="n">
        <v>500</v>
      </c>
      <c r="F178" s="20" t="n">
        <v>0.581395348837209</v>
      </c>
      <c r="G178" s="20" t="n">
        <v>0.581395348837209</v>
      </c>
      <c r="H178" s="26" t="n">
        <v>3</v>
      </c>
      <c r="I178" s="26" t="n">
        <v>1</v>
      </c>
      <c r="J178" s="26" t="n">
        <v>1</v>
      </c>
      <c r="K178" s="13" t="n">
        <v>0</v>
      </c>
      <c r="L178" s="20" t="n">
        <v>30.2</v>
      </c>
      <c r="M178" s="20" t="n">
        <v>2.1</v>
      </c>
      <c r="N178" s="20" t="n">
        <v>484.029</v>
      </c>
      <c r="O178" s="20" t="n">
        <v>1.78139348120214</v>
      </c>
      <c r="P178" s="20" t="n">
        <v>0.9</v>
      </c>
      <c r="Q178" s="20" t="n">
        <v>484.029</v>
      </c>
      <c r="R178" s="20" t="n">
        <v>0.52</v>
      </c>
      <c r="S178" s="20" t="n">
        <v>484.029</v>
      </c>
      <c r="U178" s="27"/>
      <c r="V178" s="28" t="n">
        <v>0.178477690288714</v>
      </c>
      <c r="W178" s="29" t="n">
        <f aca="false">D178/C178</f>
        <v>12.2857142857143</v>
      </c>
      <c r="X178" s="13"/>
      <c r="Y178" s="30" t="n">
        <v>8.33427417218543</v>
      </c>
      <c r="Z178" s="30" t="n">
        <v>14.4247052980132</v>
      </c>
      <c r="AA178" s="30" t="n">
        <v>28.5511955401586</v>
      </c>
      <c r="AB178" s="30" t="n">
        <v>33.6576456953642</v>
      </c>
      <c r="AD178" s="51" t="n">
        <v>210</v>
      </c>
      <c r="AE178" s="30" t="n">
        <f aca="false">AD178*1000/C178/D178*145.038/SQRT(145.038*L178)</f>
        <v>7.64469623469133</v>
      </c>
      <c r="AF178" s="32" t="n">
        <f aca="false">AD178*1000/C178/D178</f>
        <v>3.48837209302326</v>
      </c>
    </row>
    <row r="179" customFormat="false" ht="25.5" hidden="false" customHeight="true" outlineLevel="0" collapsed="false">
      <c r="A179" s="42"/>
      <c r="B179" s="25" t="s">
        <v>242</v>
      </c>
      <c r="C179" s="26" t="n">
        <v>70</v>
      </c>
      <c r="D179" s="26" t="n">
        <v>860</v>
      </c>
      <c r="E179" s="26" t="n">
        <v>500</v>
      </c>
      <c r="F179" s="20" t="n">
        <v>0.581395348837209</v>
      </c>
      <c r="G179" s="20" t="n">
        <v>0.581395348837209</v>
      </c>
      <c r="H179" s="26" t="n">
        <v>3</v>
      </c>
      <c r="I179" s="26" t="n">
        <v>1</v>
      </c>
      <c r="J179" s="26" t="n">
        <v>1</v>
      </c>
      <c r="K179" s="13" t="n">
        <v>0</v>
      </c>
      <c r="L179" s="20" t="n">
        <v>39.3</v>
      </c>
      <c r="M179" s="20" t="n">
        <v>2.1</v>
      </c>
      <c r="N179" s="20" t="n">
        <v>484.029</v>
      </c>
      <c r="O179" s="20" t="n">
        <v>1.78139348120214</v>
      </c>
      <c r="P179" s="20" t="n">
        <v>0.9</v>
      </c>
      <c r="Q179" s="20" t="n">
        <v>484.029</v>
      </c>
      <c r="R179" s="20" t="n">
        <v>0.52</v>
      </c>
      <c r="S179" s="20" t="n">
        <v>484.029</v>
      </c>
      <c r="U179" s="27"/>
      <c r="V179" s="28" t="n">
        <v>0.178477690288714</v>
      </c>
      <c r="W179" s="29" t="n">
        <f aca="false">D179/C179</f>
        <v>12.2857142857143</v>
      </c>
      <c r="X179" s="13"/>
      <c r="Y179" s="30" t="n">
        <v>6.40445496183206</v>
      </c>
      <c r="Z179" s="30" t="n">
        <v>11.0846335877863</v>
      </c>
      <c r="AA179" s="30" t="n">
        <v>21.9401044608853</v>
      </c>
      <c r="AB179" s="30" t="n">
        <v>25.8641450381679</v>
      </c>
      <c r="AD179" s="51" t="n">
        <v>219</v>
      </c>
      <c r="AE179" s="30" t="n">
        <f aca="false">AD179*1000/C179/D179*145.038/SQRT(145.038*L179)</f>
        <v>6.98863324154634</v>
      </c>
      <c r="AF179" s="32" t="n">
        <f aca="false">AD179*1000/C179/D179</f>
        <v>3.63787375415282</v>
      </c>
    </row>
    <row r="180" customFormat="false" ht="25.5" hidden="false" customHeight="true" outlineLevel="0" collapsed="false">
      <c r="A180" s="42"/>
      <c r="B180" s="49" t="s">
        <v>243</v>
      </c>
      <c r="C180" s="26" t="n">
        <v>70</v>
      </c>
      <c r="D180" s="26" t="n">
        <v>860</v>
      </c>
      <c r="E180" s="26" t="n">
        <v>500</v>
      </c>
      <c r="F180" s="20" t="n">
        <v>0.581395348837209</v>
      </c>
      <c r="G180" s="20" t="n">
        <v>0.581395348837209</v>
      </c>
      <c r="H180" s="26" t="n">
        <v>3</v>
      </c>
      <c r="I180" s="26" t="n">
        <v>1</v>
      </c>
      <c r="J180" s="26" t="n">
        <v>1</v>
      </c>
      <c r="K180" s="13" t="n">
        <v>0</v>
      </c>
      <c r="L180" s="20" t="n">
        <v>37</v>
      </c>
      <c r="M180" s="20" t="n">
        <v>2.1</v>
      </c>
      <c r="N180" s="20" t="n">
        <v>484.029</v>
      </c>
      <c r="O180" s="20" t="n">
        <v>1.78139348120214</v>
      </c>
      <c r="P180" s="20" t="n">
        <v>0.9</v>
      </c>
      <c r="Q180" s="20" t="n">
        <v>484.029</v>
      </c>
      <c r="R180" s="20" t="n">
        <v>0.52</v>
      </c>
      <c r="S180" s="20" t="n">
        <v>484.029</v>
      </c>
      <c r="U180" s="27"/>
      <c r="V180" s="28" t="n">
        <v>0.178477690288714</v>
      </c>
      <c r="W180" s="29" t="n">
        <f aca="false">D180/C180</f>
        <v>12.2857142857143</v>
      </c>
      <c r="X180" s="13"/>
      <c r="Y180" s="30" t="n">
        <v>6.80256972972973</v>
      </c>
      <c r="Z180" s="30" t="n">
        <v>11.7736783783784</v>
      </c>
      <c r="AA180" s="30" t="n">
        <v>23.3039487922376</v>
      </c>
      <c r="AB180" s="30" t="n">
        <v>27.4719162162162</v>
      </c>
      <c r="AD180" s="51" t="n">
        <v>205</v>
      </c>
      <c r="AE180" s="30" t="n">
        <f aca="false">AD180*1000/C180/D180*145.038/SQRT(145.038*L180)</f>
        <v>6.74213445175862</v>
      </c>
      <c r="AF180" s="32" t="n">
        <f aca="false">AD180*1000/C180/D180</f>
        <v>3.40531561461794</v>
      </c>
    </row>
    <row r="181" customFormat="false" ht="25.5" hidden="false" customHeight="true" outlineLevel="0" collapsed="false">
      <c r="A181" s="42"/>
      <c r="B181" s="49" t="s">
        <v>244</v>
      </c>
      <c r="C181" s="26" t="n">
        <v>70</v>
      </c>
      <c r="D181" s="26" t="n">
        <v>860</v>
      </c>
      <c r="E181" s="26" t="n">
        <v>500</v>
      </c>
      <c r="F181" s="20" t="n">
        <v>0.581395348837209</v>
      </c>
      <c r="G181" s="20" t="n">
        <v>0.581395348837209</v>
      </c>
      <c r="H181" s="26" t="n">
        <v>3</v>
      </c>
      <c r="I181" s="26" t="n">
        <v>1</v>
      </c>
      <c r="J181" s="26" t="n">
        <v>1</v>
      </c>
      <c r="K181" s="13" t="n">
        <v>0</v>
      </c>
      <c r="L181" s="20" t="n">
        <v>34.5</v>
      </c>
      <c r="M181" s="20" t="n">
        <v>2.1</v>
      </c>
      <c r="N181" s="20" t="n">
        <v>484.029</v>
      </c>
      <c r="O181" s="20" t="n">
        <v>1.78139348120214</v>
      </c>
      <c r="P181" s="20" t="n">
        <v>0.9</v>
      </c>
      <c r="Q181" s="20" t="n">
        <v>484.029</v>
      </c>
      <c r="R181" s="20" t="n">
        <v>0.52</v>
      </c>
      <c r="S181" s="20" t="n">
        <v>484.029</v>
      </c>
      <c r="U181" s="27"/>
      <c r="V181" s="28" t="n">
        <v>0.178477690288714</v>
      </c>
      <c r="W181" s="29" t="n">
        <f aca="false">D181/C181</f>
        <v>12.2857142857143</v>
      </c>
      <c r="X181" s="13"/>
      <c r="Y181" s="30" t="n">
        <v>7.29550956521739</v>
      </c>
      <c r="Z181" s="30" t="n">
        <v>12.6268434782609</v>
      </c>
      <c r="AA181" s="30" t="n">
        <v>24.9926407337041</v>
      </c>
      <c r="AB181" s="30" t="n">
        <v>29.4626347826087</v>
      </c>
      <c r="AD181" s="51" t="n">
        <v>210</v>
      </c>
      <c r="AE181" s="30" t="n">
        <f aca="false">AD181*1000/C181/D181*145.038/SQRT(145.038*L181)</f>
        <v>7.15243891052891</v>
      </c>
      <c r="AF181" s="32" t="n">
        <f aca="false">AD181*1000/C181/D181</f>
        <v>3.48837209302326</v>
      </c>
    </row>
    <row r="182" customFormat="false" ht="25.5" hidden="false" customHeight="true" outlineLevel="0" collapsed="false">
      <c r="A182" s="42"/>
      <c r="B182" s="49" t="s">
        <v>245</v>
      </c>
      <c r="C182" s="26" t="n">
        <v>70</v>
      </c>
      <c r="D182" s="26" t="n">
        <v>860</v>
      </c>
      <c r="E182" s="26" t="n">
        <v>500</v>
      </c>
      <c r="F182" s="20" t="n">
        <v>0.581395348837209</v>
      </c>
      <c r="G182" s="20" t="n">
        <v>0.581395348837209</v>
      </c>
      <c r="H182" s="26" t="n">
        <v>3</v>
      </c>
      <c r="I182" s="26" t="n">
        <v>1</v>
      </c>
      <c r="J182" s="26" t="n">
        <v>1</v>
      </c>
      <c r="K182" s="13" t="n">
        <v>0</v>
      </c>
      <c r="L182" s="20" t="n">
        <v>66</v>
      </c>
      <c r="M182" s="20" t="n">
        <v>2.1</v>
      </c>
      <c r="N182" s="20" t="n">
        <v>322.686</v>
      </c>
      <c r="O182" s="20" t="n">
        <v>1.78139348120214</v>
      </c>
      <c r="P182" s="20" t="n">
        <v>0.9</v>
      </c>
      <c r="Q182" s="20" t="n">
        <v>322.686</v>
      </c>
      <c r="R182" s="20" t="n">
        <v>0.52</v>
      </c>
      <c r="S182" s="20" t="n">
        <v>322.686</v>
      </c>
      <c r="U182" s="27"/>
      <c r="V182" s="28" t="n">
        <v>0.178477690288714</v>
      </c>
      <c r="W182" s="29" t="n">
        <f aca="false">D182/C182</f>
        <v>12.2857142857143</v>
      </c>
      <c r="X182" s="13"/>
      <c r="Y182" s="30" t="n">
        <v>2.54237454545455</v>
      </c>
      <c r="Z182" s="30" t="n">
        <v>4.40026363636364</v>
      </c>
      <c r="AA182" s="30" t="n">
        <v>8.70955661932112</v>
      </c>
      <c r="AB182" s="30" t="n">
        <v>10.2672818181818</v>
      </c>
      <c r="AD182" s="51" t="n">
        <v>250</v>
      </c>
      <c r="AE182" s="30" t="n">
        <f aca="false">AD182*1000/C182/D182*145.038/SQRT(145.038*L182)</f>
        <v>6.15619617689263</v>
      </c>
      <c r="AF182" s="32" t="n">
        <f aca="false">AD182*1000/C182/D182</f>
        <v>4.15282392026578</v>
      </c>
    </row>
    <row r="183" customFormat="false" ht="25.5" hidden="false" customHeight="true" outlineLevel="0" collapsed="false">
      <c r="A183" s="42"/>
      <c r="B183" s="49" t="s">
        <v>246</v>
      </c>
      <c r="C183" s="26" t="n">
        <v>70</v>
      </c>
      <c r="D183" s="26" t="n">
        <v>860</v>
      </c>
      <c r="E183" s="26" t="n">
        <v>500</v>
      </c>
      <c r="F183" s="20" t="n">
        <v>0.581395348837209</v>
      </c>
      <c r="G183" s="20" t="n">
        <v>0.581395348837209</v>
      </c>
      <c r="H183" s="26" t="n">
        <v>3</v>
      </c>
      <c r="I183" s="26" t="n">
        <v>1</v>
      </c>
      <c r="J183" s="26" t="n">
        <v>1</v>
      </c>
      <c r="K183" s="13" t="n">
        <v>0</v>
      </c>
      <c r="L183" s="20" t="n">
        <v>66</v>
      </c>
      <c r="M183" s="20" t="n">
        <v>2.1</v>
      </c>
      <c r="N183" s="20" t="n">
        <v>322.686</v>
      </c>
      <c r="O183" s="20" t="n">
        <v>1.78139348120214</v>
      </c>
      <c r="P183" s="20" t="n">
        <v>0.9</v>
      </c>
      <c r="Q183" s="20" t="n">
        <v>322.686</v>
      </c>
      <c r="R183" s="20" t="n">
        <v>0.52</v>
      </c>
      <c r="S183" s="20" t="n">
        <v>322.686</v>
      </c>
      <c r="U183" s="27"/>
      <c r="V183" s="28" t="n">
        <v>0.178477690288714</v>
      </c>
      <c r="W183" s="29" t="n">
        <f aca="false">D183/C183</f>
        <v>12.2857142857143</v>
      </c>
      <c r="X183" s="13"/>
      <c r="Y183" s="30" t="n">
        <v>2.54237454545455</v>
      </c>
      <c r="Z183" s="30" t="n">
        <v>4.40026363636364</v>
      </c>
      <c r="AA183" s="30" t="n">
        <v>8.70955661932112</v>
      </c>
      <c r="AB183" s="30" t="n">
        <v>10.2672818181818</v>
      </c>
      <c r="AD183" s="51" t="n">
        <v>227</v>
      </c>
      <c r="AE183" s="30" t="n">
        <f aca="false">AD183*1000/C183/D183*145.038/SQRT(145.038*L183)</f>
        <v>5.58982612861851</v>
      </c>
      <c r="AF183" s="32" t="n">
        <f aca="false">AD183*1000/C183/D183</f>
        <v>3.77076411960133</v>
      </c>
    </row>
    <row r="184" customFormat="false" ht="25.5" hidden="false" customHeight="true" outlineLevel="0" collapsed="false">
      <c r="A184" s="42"/>
      <c r="B184" s="25" t="s">
        <v>247</v>
      </c>
      <c r="C184" s="26" t="n">
        <v>70</v>
      </c>
      <c r="D184" s="26" t="n">
        <v>860</v>
      </c>
      <c r="E184" s="26" t="n">
        <v>500</v>
      </c>
      <c r="F184" s="20" t="n">
        <v>0.581395348837209</v>
      </c>
      <c r="G184" s="20" t="n">
        <v>0.581395348837209</v>
      </c>
      <c r="H184" s="26" t="n">
        <v>3</v>
      </c>
      <c r="I184" s="26" t="n">
        <v>1</v>
      </c>
      <c r="J184" s="26" t="n">
        <v>1</v>
      </c>
      <c r="K184" s="13" t="n">
        <v>0</v>
      </c>
      <c r="L184" s="20" t="n">
        <v>32.2</v>
      </c>
      <c r="M184" s="20" t="n">
        <v>2.1</v>
      </c>
      <c r="N184" s="20" t="n">
        <v>322.686</v>
      </c>
      <c r="O184" s="20" t="n">
        <v>1.78139348120214</v>
      </c>
      <c r="P184" s="20" t="n">
        <v>0.9</v>
      </c>
      <c r="Q184" s="20" t="n">
        <v>322.686</v>
      </c>
      <c r="R184" s="20" t="n">
        <v>0.65</v>
      </c>
      <c r="S184" s="20" t="n">
        <v>322.686</v>
      </c>
      <c r="U184" s="27"/>
      <c r="V184" s="28" t="n">
        <v>0.178477690288714</v>
      </c>
      <c r="W184" s="29" t="n">
        <f aca="false">D184/C184</f>
        <v>12.2857142857143</v>
      </c>
      <c r="X184" s="13"/>
      <c r="Y184" s="30" t="n">
        <v>6.51384782608696</v>
      </c>
      <c r="Z184" s="30" t="n">
        <v>9.01917391304348</v>
      </c>
      <c r="AA184" s="30" t="n">
        <v>17.8518862383601</v>
      </c>
      <c r="AB184" s="30" t="n">
        <v>21.0447391304348</v>
      </c>
      <c r="AD184" s="51" t="n">
        <v>205</v>
      </c>
      <c r="AE184" s="30" t="n">
        <f aca="false">AD184*1000/C184/D184*145.038/SQRT(145.038*L184)</f>
        <v>7.22720435913222</v>
      </c>
      <c r="AF184" s="32" t="n">
        <f aca="false">AD184*1000/C184/D184</f>
        <v>3.40531561461794</v>
      </c>
    </row>
    <row r="185" customFormat="false" ht="25.5" hidden="false" customHeight="true" outlineLevel="0" collapsed="false">
      <c r="A185" s="42"/>
      <c r="B185" s="49" t="s">
        <v>248</v>
      </c>
      <c r="C185" s="26" t="n">
        <v>70</v>
      </c>
      <c r="D185" s="26" t="n">
        <v>860</v>
      </c>
      <c r="E185" s="26" t="n">
        <v>500</v>
      </c>
      <c r="F185" s="20" t="n">
        <v>0.581395348837209</v>
      </c>
      <c r="G185" s="20" t="n">
        <v>0.581395348837209</v>
      </c>
      <c r="H185" s="26" t="n">
        <v>3</v>
      </c>
      <c r="I185" s="26" t="n">
        <v>1</v>
      </c>
      <c r="J185" s="26" t="n">
        <v>1</v>
      </c>
      <c r="K185" s="13" t="n">
        <v>0</v>
      </c>
      <c r="L185" s="20" t="n">
        <v>32.2</v>
      </c>
      <c r="M185" s="20" t="n">
        <v>2.1</v>
      </c>
      <c r="N185" s="20" t="n">
        <v>322.686</v>
      </c>
      <c r="O185" s="20" t="n">
        <v>1.78139348120214</v>
      </c>
      <c r="P185" s="20" t="n">
        <v>0.9</v>
      </c>
      <c r="Q185" s="20" t="n">
        <v>322.686</v>
      </c>
      <c r="R185" s="20" t="n">
        <v>0.65</v>
      </c>
      <c r="S185" s="20" t="n">
        <v>322.686</v>
      </c>
      <c r="U185" s="27"/>
      <c r="V185" s="28" t="n">
        <v>0.178477690288714</v>
      </c>
      <c r="W185" s="29" t="n">
        <f aca="false">D185/C185</f>
        <v>12.2857142857143</v>
      </c>
      <c r="X185" s="13"/>
      <c r="Y185" s="30" t="n">
        <v>6.51384782608696</v>
      </c>
      <c r="Z185" s="30" t="n">
        <v>9.01917391304348</v>
      </c>
      <c r="AA185" s="30" t="n">
        <v>17.8518862383601</v>
      </c>
      <c r="AB185" s="30" t="n">
        <v>21.0447391304348</v>
      </c>
      <c r="AD185" s="51" t="n">
        <v>247</v>
      </c>
      <c r="AE185" s="30" t="n">
        <f aca="false">AD185*1000/C185/D185*145.038/SQRT(145.038*L185)</f>
        <v>8.70789988636907</v>
      </c>
      <c r="AF185" s="32" t="n">
        <f aca="false">AD185*1000/C185/D185</f>
        <v>4.10299003322259</v>
      </c>
    </row>
    <row r="186" customFormat="false" ht="25.5" hidden="false" customHeight="true" outlineLevel="0" collapsed="false">
      <c r="A186" s="42"/>
      <c r="B186" s="49" t="s">
        <v>249</v>
      </c>
      <c r="C186" s="26" t="n">
        <v>70</v>
      </c>
      <c r="D186" s="26" t="n">
        <v>860</v>
      </c>
      <c r="E186" s="26" t="n">
        <v>500</v>
      </c>
      <c r="F186" s="20" t="n">
        <v>0.581395348837209</v>
      </c>
      <c r="G186" s="20" t="n">
        <v>0.581395348837209</v>
      </c>
      <c r="H186" s="26" t="n">
        <v>3</v>
      </c>
      <c r="I186" s="26" t="n">
        <v>1</v>
      </c>
      <c r="J186" s="26" t="n">
        <v>1</v>
      </c>
      <c r="K186" s="13" t="n">
        <v>0</v>
      </c>
      <c r="L186" s="20" t="n">
        <v>32.1</v>
      </c>
      <c r="M186" s="20" t="n">
        <v>2.1</v>
      </c>
      <c r="N186" s="20" t="n">
        <v>322.686</v>
      </c>
      <c r="O186" s="20" t="n">
        <v>1.78139348120214</v>
      </c>
      <c r="P186" s="20" t="n">
        <v>0.9</v>
      </c>
      <c r="Q186" s="20" t="n">
        <v>322.686</v>
      </c>
      <c r="R186" s="20" t="n">
        <v>0.65</v>
      </c>
      <c r="S186" s="20" t="n">
        <v>322.686</v>
      </c>
      <c r="U186" s="27"/>
      <c r="V186" s="28" t="n">
        <v>0.178477690288714</v>
      </c>
      <c r="W186" s="29" t="n">
        <f aca="false">D186/C186</f>
        <v>12.2857142857143</v>
      </c>
      <c r="X186" s="13"/>
      <c r="Y186" s="30" t="n">
        <v>6.53414018691589</v>
      </c>
      <c r="Z186" s="30" t="n">
        <v>9.04727102803738</v>
      </c>
      <c r="AA186" s="30" t="n">
        <v>17.9074995911275</v>
      </c>
      <c r="AB186" s="30" t="n">
        <v>21.1102990654206</v>
      </c>
      <c r="AD186" s="51" t="n">
        <v>202</v>
      </c>
      <c r="AE186" s="30" t="n">
        <f aca="false">AD186*1000/C186/D186*145.038/SQRT(145.038*L186)</f>
        <v>7.13252435352729</v>
      </c>
      <c r="AF186" s="32" t="n">
        <f aca="false">AD186*1000/C186/D186</f>
        <v>3.35548172757475</v>
      </c>
    </row>
    <row r="187" customFormat="false" ht="25.5" hidden="false" customHeight="true" outlineLevel="0" collapsed="false">
      <c r="A187" s="42"/>
      <c r="B187" s="25" t="s">
        <v>250</v>
      </c>
      <c r="C187" s="26" t="n">
        <v>70</v>
      </c>
      <c r="D187" s="26" t="n">
        <v>860</v>
      </c>
      <c r="E187" s="26" t="n">
        <v>500</v>
      </c>
      <c r="F187" s="20" t="n">
        <v>0.581395348837209</v>
      </c>
      <c r="G187" s="20" t="n">
        <v>0.581395348837209</v>
      </c>
      <c r="H187" s="26" t="n">
        <v>3</v>
      </c>
      <c r="I187" s="26" t="n">
        <v>1</v>
      </c>
      <c r="J187" s="26" t="n">
        <v>1</v>
      </c>
      <c r="K187" s="13" t="n">
        <v>0</v>
      </c>
      <c r="L187" s="20" t="n">
        <v>29.5</v>
      </c>
      <c r="M187" s="20" t="n">
        <v>2.1</v>
      </c>
      <c r="N187" s="20" t="n">
        <v>484.029</v>
      </c>
      <c r="O187" s="20" t="n">
        <v>1.78139348120214</v>
      </c>
      <c r="P187" s="20" t="n">
        <v>0.9</v>
      </c>
      <c r="Q187" s="20" t="n">
        <v>484.029</v>
      </c>
      <c r="R187" s="20" t="n">
        <v>0.65</v>
      </c>
      <c r="S187" s="20" t="n">
        <v>484.029</v>
      </c>
      <c r="U187" s="27"/>
      <c r="V187" s="28" t="n">
        <v>0.178477690288714</v>
      </c>
      <c r="W187" s="29" t="n">
        <f aca="false">D187/C187</f>
        <v>12.2857142857143</v>
      </c>
      <c r="X187" s="13"/>
      <c r="Y187" s="30" t="n">
        <v>10.6650457627119</v>
      </c>
      <c r="Z187" s="30" t="n">
        <v>14.766986440678</v>
      </c>
      <c r="AA187" s="30" t="n">
        <v>29.2286815360268</v>
      </c>
      <c r="AB187" s="30" t="n">
        <v>34.4563016949153</v>
      </c>
      <c r="AD187" s="51" t="n">
        <v>255</v>
      </c>
      <c r="AE187" s="30" t="n">
        <f aca="false">AD187*1000/C187/D187*145.038/SQRT(145.038*L187)</f>
        <v>9.3923351746314</v>
      </c>
      <c r="AF187" s="32" t="n">
        <f aca="false">AD187*1000/C187/D187</f>
        <v>4.2358803986711</v>
      </c>
    </row>
    <row r="188" customFormat="false" ht="25.5" hidden="false" customHeight="true" outlineLevel="0" collapsed="false">
      <c r="A188" s="42"/>
      <c r="B188" s="49" t="s">
        <v>251</v>
      </c>
      <c r="C188" s="26" t="n">
        <v>70</v>
      </c>
      <c r="D188" s="26" t="n">
        <v>860</v>
      </c>
      <c r="E188" s="26" t="n">
        <v>500</v>
      </c>
      <c r="F188" s="20" t="n">
        <v>0.581395348837209</v>
      </c>
      <c r="G188" s="20" t="n">
        <v>0.581395348837209</v>
      </c>
      <c r="H188" s="26" t="n">
        <v>3</v>
      </c>
      <c r="I188" s="26" t="n">
        <v>1</v>
      </c>
      <c r="J188" s="26" t="n">
        <v>1</v>
      </c>
      <c r="K188" s="13" t="n">
        <v>0</v>
      </c>
      <c r="L188" s="20" t="n">
        <v>29.5</v>
      </c>
      <c r="M188" s="20" t="n">
        <v>2.1</v>
      </c>
      <c r="N188" s="20" t="n">
        <v>484.029</v>
      </c>
      <c r="O188" s="20" t="n">
        <v>1.78139348120214</v>
      </c>
      <c r="P188" s="20" t="n">
        <v>0.9</v>
      </c>
      <c r="Q188" s="20" t="n">
        <v>484.029</v>
      </c>
      <c r="R188" s="20" t="n">
        <v>0.65</v>
      </c>
      <c r="S188" s="20" t="n">
        <v>484.029</v>
      </c>
      <c r="U188" s="27"/>
      <c r="V188" s="28" t="n">
        <v>0.178477690288714</v>
      </c>
      <c r="W188" s="29" t="n">
        <f aca="false">D188/C188</f>
        <v>12.2857142857143</v>
      </c>
      <c r="X188" s="13"/>
      <c r="Y188" s="30" t="n">
        <v>10.6650457627119</v>
      </c>
      <c r="Z188" s="30" t="n">
        <v>14.766986440678</v>
      </c>
      <c r="AA188" s="30" t="n">
        <v>29.2286815360268</v>
      </c>
      <c r="AB188" s="30" t="n">
        <v>34.4563016949153</v>
      </c>
      <c r="AD188" s="51" t="n">
        <v>204</v>
      </c>
      <c r="AE188" s="30" t="n">
        <f aca="false">AD188*1000/C188/D188*145.038/SQRT(145.038*L188)</f>
        <v>7.51386813970512</v>
      </c>
      <c r="AF188" s="32" t="n">
        <f aca="false">AD188*1000/C188/D188</f>
        <v>3.38870431893688</v>
      </c>
    </row>
    <row r="189" customFormat="false" ht="25.5" hidden="false" customHeight="true" outlineLevel="0" collapsed="false">
      <c r="A189" s="42"/>
      <c r="B189" s="49" t="s">
        <v>252</v>
      </c>
      <c r="C189" s="26" t="n">
        <v>70</v>
      </c>
      <c r="D189" s="26" t="n">
        <v>860</v>
      </c>
      <c r="E189" s="26" t="n">
        <v>500</v>
      </c>
      <c r="F189" s="20" t="n">
        <v>0.581395348837209</v>
      </c>
      <c r="G189" s="20" t="n">
        <v>0.581395348837209</v>
      </c>
      <c r="H189" s="26" t="n">
        <v>3</v>
      </c>
      <c r="I189" s="26" t="n">
        <v>1</v>
      </c>
      <c r="J189" s="26" t="n">
        <v>1</v>
      </c>
      <c r="K189" s="13" t="n">
        <v>0</v>
      </c>
      <c r="L189" s="20" t="n">
        <v>31</v>
      </c>
      <c r="M189" s="20" t="n">
        <v>2.1</v>
      </c>
      <c r="N189" s="20" t="n">
        <v>484.029</v>
      </c>
      <c r="O189" s="20" t="n">
        <v>1.78139348120214</v>
      </c>
      <c r="P189" s="20" t="n">
        <v>0.9</v>
      </c>
      <c r="Q189" s="20" t="n">
        <v>484.029</v>
      </c>
      <c r="R189" s="20" t="n">
        <v>0.65</v>
      </c>
      <c r="S189" s="20" t="n">
        <v>484.029</v>
      </c>
      <c r="U189" s="27"/>
      <c r="V189" s="28" t="n">
        <v>0.178477690288714</v>
      </c>
      <c r="W189" s="29" t="n">
        <f aca="false">D189/C189</f>
        <v>12.2857142857143</v>
      </c>
      <c r="X189" s="13"/>
      <c r="Y189" s="30" t="n">
        <v>10.1489951612903</v>
      </c>
      <c r="Z189" s="30" t="n">
        <v>14.0524548387097</v>
      </c>
      <c r="AA189" s="30" t="n">
        <v>27.814390493961</v>
      </c>
      <c r="AB189" s="30" t="n">
        <v>32.7890612903226</v>
      </c>
      <c r="AD189" s="51" t="n">
        <v>205</v>
      </c>
      <c r="AE189" s="30" t="n">
        <f aca="false">AD189*1000/C189/D189*145.038/SQRT(145.038*L189)</f>
        <v>7.36575762637785</v>
      </c>
      <c r="AF189" s="32" t="n">
        <f aca="false">AD189*1000/C189/D189</f>
        <v>3.40531561461794</v>
      </c>
    </row>
    <row r="190" customFormat="false" ht="25.5" hidden="false" customHeight="true" outlineLevel="0" collapsed="false">
      <c r="A190" s="42"/>
      <c r="B190" s="25" t="s">
        <v>253</v>
      </c>
      <c r="C190" s="26" t="n">
        <v>70</v>
      </c>
      <c r="D190" s="26" t="n">
        <v>860</v>
      </c>
      <c r="E190" s="26" t="n">
        <v>500</v>
      </c>
      <c r="F190" s="20" t="n">
        <v>0.581395348837209</v>
      </c>
      <c r="G190" s="20" t="n">
        <v>0.581395348837209</v>
      </c>
      <c r="H190" s="26" t="n">
        <v>3</v>
      </c>
      <c r="I190" s="26" t="n">
        <v>1</v>
      </c>
      <c r="J190" s="26" t="n">
        <v>1</v>
      </c>
      <c r="K190" s="13" t="n">
        <v>0</v>
      </c>
      <c r="L190" s="20" t="n">
        <v>37.5</v>
      </c>
      <c r="M190" s="20" t="n">
        <v>2.1</v>
      </c>
      <c r="N190" s="20" t="n">
        <v>322.686</v>
      </c>
      <c r="O190" s="20" t="n">
        <v>1.78139348120214</v>
      </c>
      <c r="P190" s="20" t="n">
        <v>0.9</v>
      </c>
      <c r="Q190" s="20" t="n">
        <v>322.686</v>
      </c>
      <c r="R190" s="20" t="n">
        <v>0.65</v>
      </c>
      <c r="S190" s="20" t="n">
        <v>322.686</v>
      </c>
      <c r="U190" s="27"/>
      <c r="V190" s="28" t="n">
        <v>0.178477690288714</v>
      </c>
      <c r="W190" s="29" t="n">
        <f aca="false">D190/C190</f>
        <v>12.2857142857143</v>
      </c>
      <c r="X190" s="13"/>
      <c r="Y190" s="30" t="n">
        <v>5.593224</v>
      </c>
      <c r="Z190" s="30" t="n">
        <v>7.744464</v>
      </c>
      <c r="AA190" s="30" t="n">
        <v>15.3288196500052</v>
      </c>
      <c r="AB190" s="30" t="n">
        <v>18.070416</v>
      </c>
      <c r="AD190" s="51" t="n">
        <v>223</v>
      </c>
      <c r="AE190" s="30" t="n">
        <f aca="false">AD190*1000/C190/D190*145.038/SQRT(145.038*L190)</f>
        <v>7.28506849051173</v>
      </c>
      <c r="AF190" s="32" t="n">
        <f aca="false">AD190*1000/C190/D190</f>
        <v>3.70431893687708</v>
      </c>
    </row>
    <row r="191" customFormat="false" ht="25.5" hidden="false" customHeight="true" outlineLevel="0" collapsed="false">
      <c r="A191" s="42"/>
      <c r="B191" s="49" t="s">
        <v>254</v>
      </c>
      <c r="C191" s="26" t="n">
        <v>70</v>
      </c>
      <c r="D191" s="26" t="n">
        <v>860</v>
      </c>
      <c r="E191" s="26" t="n">
        <v>500</v>
      </c>
      <c r="F191" s="20" t="n">
        <v>0.581395348837209</v>
      </c>
      <c r="G191" s="20" t="n">
        <v>0.581395348837209</v>
      </c>
      <c r="H191" s="26" t="n">
        <v>3</v>
      </c>
      <c r="I191" s="26" t="n">
        <v>1</v>
      </c>
      <c r="J191" s="26" t="n">
        <v>1</v>
      </c>
      <c r="K191" s="13" t="n">
        <v>0</v>
      </c>
      <c r="L191" s="20" t="n">
        <v>37.5</v>
      </c>
      <c r="M191" s="20" t="n">
        <v>2.1</v>
      </c>
      <c r="N191" s="20" t="n">
        <v>322.686</v>
      </c>
      <c r="O191" s="20" t="n">
        <v>1.78139348120214</v>
      </c>
      <c r="P191" s="20" t="n">
        <v>0.9</v>
      </c>
      <c r="Q191" s="20" t="n">
        <v>322.686</v>
      </c>
      <c r="R191" s="20" t="n">
        <v>0.65</v>
      </c>
      <c r="S191" s="20" t="n">
        <v>322.686</v>
      </c>
      <c r="U191" s="27"/>
      <c r="V191" s="28" t="n">
        <v>0.178477690288714</v>
      </c>
      <c r="W191" s="29" t="n">
        <f aca="false">D191/C191</f>
        <v>12.2857142857143</v>
      </c>
      <c r="X191" s="13"/>
      <c r="Y191" s="30" t="n">
        <v>5.593224</v>
      </c>
      <c r="Z191" s="30" t="n">
        <v>7.744464</v>
      </c>
      <c r="AA191" s="30" t="n">
        <v>15.3288196500052</v>
      </c>
      <c r="AB191" s="30" t="n">
        <v>18.070416</v>
      </c>
      <c r="AD191" s="51" t="n">
        <v>231</v>
      </c>
      <c r="AE191" s="30" t="n">
        <f aca="false">AD191*1000/C191/D191*145.038/SQRT(145.038*L191)</f>
        <v>7.54641623905027</v>
      </c>
      <c r="AF191" s="32" t="n">
        <f aca="false">AD191*1000/C191/D191</f>
        <v>3.83720930232558</v>
      </c>
    </row>
    <row r="192" customFormat="false" ht="25.5" hidden="false" customHeight="true" outlineLevel="0" collapsed="false">
      <c r="A192" s="42"/>
      <c r="B192" s="49" t="s">
        <v>255</v>
      </c>
      <c r="C192" s="26" t="n">
        <v>70</v>
      </c>
      <c r="D192" s="26" t="n">
        <v>860</v>
      </c>
      <c r="E192" s="26" t="n">
        <v>500</v>
      </c>
      <c r="F192" s="20" t="n">
        <v>0.581395348837209</v>
      </c>
      <c r="G192" s="20" t="n">
        <v>0.581395348837209</v>
      </c>
      <c r="H192" s="26" t="n">
        <v>3</v>
      </c>
      <c r="I192" s="26" t="n">
        <v>1</v>
      </c>
      <c r="J192" s="26" t="n">
        <v>1</v>
      </c>
      <c r="K192" s="13" t="n">
        <v>0</v>
      </c>
      <c r="L192" s="20" t="n">
        <v>39.9</v>
      </c>
      <c r="M192" s="20" t="n">
        <v>2.1</v>
      </c>
      <c r="N192" s="20" t="n">
        <v>322.686</v>
      </c>
      <c r="O192" s="20" t="n">
        <v>1.78139348120214</v>
      </c>
      <c r="P192" s="20" t="n">
        <v>0.9</v>
      </c>
      <c r="Q192" s="20" t="n">
        <v>322.686</v>
      </c>
      <c r="R192" s="20" t="n">
        <v>0.65</v>
      </c>
      <c r="S192" s="20" t="n">
        <v>322.686</v>
      </c>
      <c r="U192" s="27"/>
      <c r="V192" s="28" t="n">
        <v>0.178477690288714</v>
      </c>
      <c r="W192" s="29" t="n">
        <f aca="false">D192/C192</f>
        <v>12.2857142857143</v>
      </c>
      <c r="X192" s="13"/>
      <c r="Y192" s="30" t="n">
        <v>5.25678947368421</v>
      </c>
      <c r="Z192" s="30" t="n">
        <v>7.27863157894737</v>
      </c>
      <c r="AA192" s="30" t="n">
        <v>14.4067853853432</v>
      </c>
      <c r="AB192" s="30" t="n">
        <v>16.9834736842105</v>
      </c>
      <c r="AD192" s="51" t="n">
        <v>250</v>
      </c>
      <c r="AE192" s="30" t="n">
        <f aca="false">AD192*1000/C192/D192*145.038/SQRT(145.038*L192)</f>
        <v>7.91768046321859</v>
      </c>
      <c r="AF192" s="32" t="n">
        <f aca="false">AD192*1000/C192/D192</f>
        <v>4.15282392026578</v>
      </c>
    </row>
    <row r="193" customFormat="false" ht="25.5" hidden="false" customHeight="true" outlineLevel="0" collapsed="false">
      <c r="A193" s="20" t="s">
        <v>256</v>
      </c>
      <c r="B193" s="34" t="s">
        <v>257</v>
      </c>
      <c r="C193" s="26" t="n">
        <v>200</v>
      </c>
      <c r="D193" s="26" t="n">
        <v>1500</v>
      </c>
      <c r="E193" s="26" t="n">
        <v>3500</v>
      </c>
      <c r="F193" s="20" t="n">
        <v>2.333</v>
      </c>
      <c r="G193" s="20" t="n">
        <v>2.33333333333333</v>
      </c>
      <c r="H193" s="26" t="n">
        <v>1</v>
      </c>
      <c r="I193" s="26" t="n">
        <v>2</v>
      </c>
      <c r="J193" s="26" t="n">
        <v>1</v>
      </c>
      <c r="K193" s="20" t="n">
        <v>0.07</v>
      </c>
      <c r="L193" s="20" t="n">
        <v>39.2</v>
      </c>
      <c r="M193" s="20" t="n">
        <v>0.5024</v>
      </c>
      <c r="N193" s="20" t="n">
        <v>468</v>
      </c>
      <c r="O193" s="20" t="n">
        <v>0.628</v>
      </c>
      <c r="P193" s="20" t="n">
        <v>0.628</v>
      </c>
      <c r="Q193" s="20" t="n">
        <v>468</v>
      </c>
      <c r="R193" s="20" t="n">
        <v>0.209333333333333</v>
      </c>
      <c r="S193" s="20" t="n">
        <v>468</v>
      </c>
      <c r="U193" s="35"/>
      <c r="V193" s="28" t="n">
        <v>0.133333333333333</v>
      </c>
      <c r="W193" s="29" t="n">
        <f aca="false">D193/C193</f>
        <v>7.5</v>
      </c>
      <c r="X193" s="35"/>
      <c r="Y193" s="30" t="n">
        <v>2.49918367346939</v>
      </c>
      <c r="Z193" s="30" t="n">
        <v>7.49755102040816</v>
      </c>
      <c r="AA193" s="30" t="n">
        <v>7.49755102040816</v>
      </c>
      <c r="AB193" s="30" t="n">
        <v>5.99804081632653</v>
      </c>
      <c r="AD193" s="28" t="n">
        <v>443.16505</v>
      </c>
      <c r="AE193" s="30" t="n">
        <f aca="false">AD193*1000/C193/D193*145.038/SQRT(145.038*L193)</f>
        <v>2.8414637220535</v>
      </c>
      <c r="AF193" s="32" t="n">
        <f aca="false">AD193*1000/C193/D193</f>
        <v>1.47721683333333</v>
      </c>
    </row>
    <row r="194" customFormat="false" ht="25.5" hidden="false" customHeight="true" outlineLevel="0" collapsed="false">
      <c r="A194" s="33" t="s">
        <v>258</v>
      </c>
      <c r="B194" s="34" t="s">
        <v>259</v>
      </c>
      <c r="C194" s="41" t="n">
        <v>101.6</v>
      </c>
      <c r="D194" s="26" t="n">
        <v>1905</v>
      </c>
      <c r="E194" s="26" t="n">
        <v>4572</v>
      </c>
      <c r="F194" s="20" t="n">
        <v>2.39</v>
      </c>
      <c r="G194" s="20" t="n">
        <v>2.4</v>
      </c>
      <c r="H194" s="26" t="n">
        <v>1</v>
      </c>
      <c r="I194" s="26" t="n">
        <v>2</v>
      </c>
      <c r="J194" s="26" t="n">
        <v>1</v>
      </c>
      <c r="K194" s="20" t="n">
        <v>0</v>
      </c>
      <c r="L194" s="20" t="n">
        <v>44.75</v>
      </c>
      <c r="M194" s="20" t="n">
        <v>1.46225490196078</v>
      </c>
      <c r="N194" s="20" t="n">
        <v>511.6</v>
      </c>
      <c r="O194" s="20" t="n">
        <v>0.378744017291956</v>
      </c>
      <c r="P194" s="20" t="n">
        <v>0.273769297538595</v>
      </c>
      <c r="Q194" s="20" t="n">
        <v>521.95</v>
      </c>
      <c r="R194" s="20" t="n">
        <v>0.241869222868881</v>
      </c>
      <c r="S194" s="20" t="n">
        <v>521.95</v>
      </c>
      <c r="U194" s="35"/>
      <c r="V194" s="28" t="n">
        <v>0.100051626226123</v>
      </c>
      <c r="W194" s="29" t="n">
        <f aca="false">D194/C194</f>
        <v>18.75</v>
      </c>
      <c r="X194" s="35"/>
      <c r="Y194" s="30" t="n">
        <v>2.82108694695893</v>
      </c>
      <c r="Z194" s="30" t="n">
        <v>3.19315943799485</v>
      </c>
      <c r="AA194" s="30" t="n">
        <v>3.85150927260448</v>
      </c>
      <c r="AB194" s="30" t="n">
        <v>16.7170862087852</v>
      </c>
      <c r="AD194" s="28" t="n">
        <v>117.2979</v>
      </c>
      <c r="AE194" s="30" t="n">
        <f aca="false">AD194*1000/C194/D194*145.038/SQRT(145.038*L194)</f>
        <v>1.09105320748813</v>
      </c>
      <c r="AF194" s="32" t="n">
        <f aca="false">AD194*1000/C194/D194</f>
        <v>0.606040362080724</v>
      </c>
    </row>
    <row r="195" customFormat="false" ht="25.5" hidden="false" customHeight="true" outlineLevel="0" collapsed="false">
      <c r="A195" s="33"/>
      <c r="B195" s="34" t="s">
        <v>260</v>
      </c>
      <c r="C195" s="41" t="n">
        <v>101.6</v>
      </c>
      <c r="D195" s="26" t="n">
        <v>1905</v>
      </c>
      <c r="E195" s="26" t="n">
        <v>4572</v>
      </c>
      <c r="F195" s="20" t="n">
        <v>2.39</v>
      </c>
      <c r="G195" s="20" t="n">
        <v>2.4</v>
      </c>
      <c r="H195" s="26" t="n">
        <v>1</v>
      </c>
      <c r="I195" s="26" t="n">
        <v>2</v>
      </c>
      <c r="J195" s="26" t="n">
        <v>1</v>
      </c>
      <c r="K195" s="20" t="n">
        <v>0</v>
      </c>
      <c r="L195" s="20" t="n">
        <v>46.47</v>
      </c>
      <c r="M195" s="20" t="n">
        <v>3.91989628482972</v>
      </c>
      <c r="N195" s="20" t="n">
        <v>450.2</v>
      </c>
      <c r="O195" s="20" t="n">
        <v>1.62975778546713</v>
      </c>
      <c r="P195" s="20" t="n">
        <v>0.273769297538595</v>
      </c>
      <c r="Q195" s="20" t="n">
        <v>535.05</v>
      </c>
      <c r="R195" s="20" t="n">
        <v>0.241869222868881</v>
      </c>
      <c r="S195" s="20" t="n">
        <v>535.05</v>
      </c>
      <c r="U195" s="35"/>
      <c r="V195" s="28" t="n">
        <v>0.100051626226123</v>
      </c>
      <c r="W195" s="29" t="n">
        <f aca="false">D195/C195</f>
        <v>18.75</v>
      </c>
      <c r="X195" s="35"/>
      <c r="Y195" s="30" t="n">
        <v>2.7848531890681</v>
      </c>
      <c r="Z195" s="30" t="n">
        <v>3.15214681833495</v>
      </c>
      <c r="AA195" s="30" t="n">
        <v>18.764835444678</v>
      </c>
      <c r="AB195" s="30" t="n">
        <v>37.9758404869882</v>
      </c>
      <c r="AD195" s="28" t="n">
        <v>216.5205</v>
      </c>
      <c r="AE195" s="30" t="n">
        <f aca="false">AD195*1000/C195/D195*145.038/SQRT(145.038*L195)</f>
        <v>1.97635473393558</v>
      </c>
      <c r="AF195" s="32" t="n">
        <f aca="false">AD195*1000/C195/D195</f>
        <v>1.11869148738297</v>
      </c>
    </row>
    <row r="196" customFormat="false" ht="25.5" hidden="false" customHeight="true" outlineLevel="0" collapsed="false">
      <c r="A196" s="33"/>
      <c r="B196" s="34" t="s">
        <v>261</v>
      </c>
      <c r="C196" s="41" t="n">
        <v>101.6</v>
      </c>
      <c r="D196" s="26" t="n">
        <v>1905</v>
      </c>
      <c r="E196" s="26" t="n">
        <v>4572</v>
      </c>
      <c r="F196" s="20" t="n">
        <v>2.39</v>
      </c>
      <c r="G196" s="20" t="n">
        <v>2.4</v>
      </c>
      <c r="H196" s="26" t="n">
        <v>2</v>
      </c>
      <c r="I196" s="26" t="n">
        <v>2</v>
      </c>
      <c r="J196" s="26" t="n">
        <v>1</v>
      </c>
      <c r="K196" s="20" t="n">
        <v>0</v>
      </c>
      <c r="L196" s="20" t="n">
        <v>53.02</v>
      </c>
      <c r="M196" s="20" t="n">
        <v>1.08884837409299</v>
      </c>
      <c r="N196" s="20" t="n">
        <v>449.6</v>
      </c>
      <c r="O196" s="20" t="n">
        <v>0.0949964502388021</v>
      </c>
      <c r="P196" s="20" t="n">
        <v>0.273769297538595</v>
      </c>
      <c r="Q196" s="20" t="n">
        <v>520.57</v>
      </c>
      <c r="R196" s="20" t="n">
        <v>0.241869222868881</v>
      </c>
      <c r="S196" s="20" t="n">
        <v>520.57</v>
      </c>
      <c r="U196" s="35"/>
      <c r="V196" s="28" t="n">
        <v>0.292879586426633</v>
      </c>
      <c r="W196" s="29" t="n">
        <f aca="false">D196/C196</f>
        <v>18.75</v>
      </c>
      <c r="X196" s="35"/>
      <c r="Y196" s="30" t="n">
        <v>2.37476162483691</v>
      </c>
      <c r="Z196" s="30" t="n">
        <v>2.68796837456934</v>
      </c>
      <c r="AA196" s="30" t="n">
        <v>0.848714985168204</v>
      </c>
      <c r="AB196" s="30" t="n">
        <v>9.23323706133924</v>
      </c>
      <c r="AD196" s="28" t="n">
        <v>269.6825</v>
      </c>
      <c r="AE196" s="30" t="n">
        <f aca="false">AD196*1000/C196/D196*145.038/SQRT(145.038*L196)</f>
        <v>2.30454459786024</v>
      </c>
      <c r="AF196" s="32" t="n">
        <f aca="false">AD196*1000/C196/D196</f>
        <v>1.39336237005807</v>
      </c>
    </row>
    <row r="197" customFormat="false" ht="25.5" hidden="false" customHeight="true" outlineLevel="0" collapsed="false">
      <c r="A197" s="33"/>
      <c r="B197" s="34" t="s">
        <v>262</v>
      </c>
      <c r="C197" s="41" t="n">
        <v>101.6</v>
      </c>
      <c r="D197" s="26" t="n">
        <v>1905</v>
      </c>
      <c r="E197" s="26" t="n">
        <v>4572</v>
      </c>
      <c r="F197" s="20" t="n">
        <v>2.39</v>
      </c>
      <c r="G197" s="20" t="n">
        <v>2.4</v>
      </c>
      <c r="H197" s="26" t="n">
        <v>2</v>
      </c>
      <c r="I197" s="26" t="n">
        <v>2</v>
      </c>
      <c r="J197" s="26" t="n">
        <v>1</v>
      </c>
      <c r="K197" s="20" t="n">
        <v>0</v>
      </c>
      <c r="L197" s="20" t="n">
        <v>53.64</v>
      </c>
      <c r="M197" s="20" t="n">
        <v>3.67486326256383</v>
      </c>
      <c r="N197" s="20" t="n">
        <v>410.3</v>
      </c>
      <c r="O197" s="20" t="n">
        <v>0.126661933651736</v>
      </c>
      <c r="P197" s="20" t="n">
        <v>0.54753859507719</v>
      </c>
      <c r="Q197" s="20" t="n">
        <v>532.29</v>
      </c>
      <c r="R197" s="20" t="n">
        <v>0.241869222868881</v>
      </c>
      <c r="S197" s="20" t="n">
        <v>532.29</v>
      </c>
      <c r="U197" s="35"/>
      <c r="V197" s="28" t="n">
        <v>0.292879586426633</v>
      </c>
      <c r="W197" s="29" t="n">
        <f aca="false">D197/C197</f>
        <v>18.75</v>
      </c>
      <c r="X197" s="35"/>
      <c r="Y197" s="30" t="n">
        <v>2.40015974349136</v>
      </c>
      <c r="Z197" s="30" t="n">
        <v>5.43343249018713</v>
      </c>
      <c r="AA197" s="30" t="n">
        <v>1.09247098441416</v>
      </c>
      <c r="AB197" s="30" t="n">
        <v>28.1095525098795</v>
      </c>
      <c r="AD197" s="28" t="n">
        <v>676.0867</v>
      </c>
      <c r="AE197" s="30" t="n">
        <f aca="false">AD197*1000/C197/D197*145.038/SQRT(145.038*L197)</f>
        <v>5.74394431854986</v>
      </c>
      <c r="AF197" s="32" t="n">
        <f aca="false">AD197*1000/C197/D197</f>
        <v>3.49312160290987</v>
      </c>
    </row>
    <row r="198" customFormat="false" ht="25.5" hidden="false" customHeight="true" outlineLevel="0" collapsed="false">
      <c r="A198" s="33"/>
      <c r="B198" s="34" t="s">
        <v>263</v>
      </c>
      <c r="C198" s="41" t="n">
        <v>101.6</v>
      </c>
      <c r="D198" s="26" t="n">
        <v>1905</v>
      </c>
      <c r="E198" s="26" t="n">
        <v>4572</v>
      </c>
      <c r="F198" s="20" t="n">
        <v>2.39</v>
      </c>
      <c r="G198" s="20" t="n">
        <v>2.4</v>
      </c>
      <c r="H198" s="26" t="n">
        <v>2</v>
      </c>
      <c r="I198" s="26" t="n">
        <v>2</v>
      </c>
      <c r="J198" s="26" t="n">
        <v>1</v>
      </c>
      <c r="K198" s="20" t="n">
        <v>0</v>
      </c>
      <c r="L198" s="20" t="n">
        <v>47.3</v>
      </c>
      <c r="M198" s="20" t="n">
        <v>1.08884837409299</v>
      </c>
      <c r="N198" s="20" t="n">
        <v>437.8</v>
      </c>
      <c r="O198" s="20" t="n">
        <v>0.8175506268081</v>
      </c>
      <c r="P198" s="20" t="n">
        <v>0.273769297538595</v>
      </c>
      <c r="Q198" s="20" t="n">
        <v>478.51</v>
      </c>
      <c r="R198" s="20" t="n">
        <v>0.241869222868881</v>
      </c>
      <c r="S198" s="20" t="n">
        <v>478.51</v>
      </c>
      <c r="U198" s="35"/>
      <c r="V198" s="28" t="n">
        <v>0.292879586426633</v>
      </c>
      <c r="W198" s="29" t="n">
        <f aca="false">D198/C198</f>
        <v>18.75</v>
      </c>
      <c r="X198" s="35"/>
      <c r="Y198" s="30" t="n">
        <v>2.44686769207163</v>
      </c>
      <c r="Z198" s="30" t="n">
        <v>2.76958449397871</v>
      </c>
      <c r="AA198" s="30" t="n">
        <v>8.27074313813835</v>
      </c>
      <c r="AB198" s="30" t="n">
        <v>10.078177974163</v>
      </c>
      <c r="AD198" s="28" t="n">
        <v>274.348</v>
      </c>
      <c r="AE198" s="30" t="n">
        <f aca="false">AD198*1000/C198/D198*145.038/SQRT(145.038*L198)</f>
        <v>2.48212381465973</v>
      </c>
      <c r="AF198" s="32" t="n">
        <f aca="false">AD198*1000/C198/D198</f>
        <v>1.41746750160167</v>
      </c>
    </row>
    <row r="199" customFormat="false" ht="25.5" hidden="false" customHeight="true" outlineLevel="0" collapsed="false">
      <c r="A199" s="33"/>
      <c r="B199" s="34" t="s">
        <v>264</v>
      </c>
      <c r="C199" s="41" t="n">
        <v>101.6</v>
      </c>
      <c r="D199" s="26" t="n">
        <v>1905</v>
      </c>
      <c r="E199" s="26" t="n">
        <v>4572</v>
      </c>
      <c r="F199" s="20" t="n">
        <v>2.39</v>
      </c>
      <c r="G199" s="20" t="n">
        <v>2.4</v>
      </c>
      <c r="H199" s="26" t="n">
        <v>2</v>
      </c>
      <c r="I199" s="26" t="n">
        <v>2</v>
      </c>
      <c r="J199" s="26" t="n">
        <v>1</v>
      </c>
      <c r="K199" s="20" t="n">
        <v>0</v>
      </c>
      <c r="L199" s="20" t="n">
        <v>45.3</v>
      </c>
      <c r="M199" s="20" t="n">
        <v>3.67486326256383</v>
      </c>
      <c r="N199" s="20" t="n">
        <v>444</v>
      </c>
      <c r="O199" s="20" t="n">
        <v>1.0900675024108</v>
      </c>
      <c r="P199" s="20" t="n">
        <v>0.54753859507719</v>
      </c>
      <c r="Q199" s="20" t="n">
        <v>501.96</v>
      </c>
      <c r="R199" s="20" t="n">
        <v>0.241869222868881</v>
      </c>
      <c r="S199" s="20" t="n">
        <v>501.96</v>
      </c>
      <c r="U199" s="35"/>
      <c r="V199" s="28" t="n">
        <v>0.292879586426633</v>
      </c>
      <c r="W199" s="29" t="n">
        <f aca="false">D199/C199</f>
        <v>18.75</v>
      </c>
      <c r="X199" s="35"/>
      <c r="Y199" s="30" t="n">
        <v>2.68010320333915</v>
      </c>
      <c r="Z199" s="30" t="n">
        <v>6.0671627634646</v>
      </c>
      <c r="AA199" s="30" t="n">
        <v>12.0788142055215</v>
      </c>
      <c r="AB199" s="30" t="n">
        <v>36.0185273416852</v>
      </c>
      <c r="AD199" s="28" t="n">
        <v>752.9412</v>
      </c>
      <c r="AE199" s="30" t="n">
        <f aca="false">AD199*1000/C199/D199*145.038/SQRT(145.038*L199)</f>
        <v>6.96088043522542</v>
      </c>
      <c r="AF199" s="32" t="n">
        <f aca="false">AD199*1000/C199/D199</f>
        <v>3.89020398040796</v>
      </c>
    </row>
    <row r="200" customFormat="false" ht="25.5" hidden="false" customHeight="true" outlineLevel="0" collapsed="false">
      <c r="A200" s="33"/>
      <c r="B200" s="34" t="s">
        <v>265</v>
      </c>
      <c r="C200" s="41" t="n">
        <v>101.6</v>
      </c>
      <c r="D200" s="26" t="n">
        <v>1905</v>
      </c>
      <c r="E200" s="26" t="n">
        <v>4572</v>
      </c>
      <c r="F200" s="20" t="n">
        <v>2.39</v>
      </c>
      <c r="G200" s="20" t="n">
        <v>2.4</v>
      </c>
      <c r="H200" s="26" t="n">
        <v>2</v>
      </c>
      <c r="I200" s="26" t="n">
        <v>2</v>
      </c>
      <c r="J200" s="26" t="n">
        <v>1</v>
      </c>
      <c r="K200" s="20" t="n">
        <v>0.13</v>
      </c>
      <c r="L200" s="20" t="n">
        <v>21.86</v>
      </c>
      <c r="M200" s="20" t="n">
        <v>3.67486326256383</v>
      </c>
      <c r="N200" s="20" t="n">
        <v>440.6</v>
      </c>
      <c r="O200" s="20" t="n">
        <v>0.756991321118611</v>
      </c>
      <c r="P200" s="20" t="n">
        <v>0.54753859507719</v>
      </c>
      <c r="Q200" s="20" t="n">
        <v>511.6</v>
      </c>
      <c r="R200" s="20" t="n">
        <v>0.241869222868881</v>
      </c>
      <c r="S200" s="20" t="n">
        <v>511.6</v>
      </c>
      <c r="U200" s="35"/>
      <c r="V200" s="28" t="n">
        <v>0.292879586426633</v>
      </c>
      <c r="W200" s="29" t="n">
        <f aca="false">D200/C200</f>
        <v>18.75</v>
      </c>
      <c r="X200" s="35"/>
      <c r="Y200" s="30" t="n">
        <v>5.66058071453428</v>
      </c>
      <c r="Z200" s="30" t="n">
        <v>12.8143067356583</v>
      </c>
      <c r="AA200" s="30" t="n">
        <v>16.881668300335</v>
      </c>
      <c r="AB200" s="30" t="n">
        <v>74.0688359325536</v>
      </c>
      <c r="AD200" s="28" t="n">
        <v>823.742</v>
      </c>
      <c r="AE200" s="30" t="n">
        <f aca="false">AD200*1000/C200/D200*145.038/SQRT(145.038*L200)</f>
        <v>10.962720565698</v>
      </c>
      <c r="AF200" s="32" t="n">
        <f aca="false">AD200*1000/C200/D200</f>
        <v>4.25600884535102</v>
      </c>
    </row>
    <row r="201" customFormat="false" ht="25.5" hidden="false" customHeight="true" outlineLevel="0" collapsed="false">
      <c r="A201" s="33"/>
      <c r="B201" s="34" t="s">
        <v>266</v>
      </c>
      <c r="C201" s="41" t="n">
        <v>101.6</v>
      </c>
      <c r="D201" s="26" t="n">
        <v>1905</v>
      </c>
      <c r="E201" s="26" t="n">
        <v>4572</v>
      </c>
      <c r="F201" s="20" t="n">
        <v>2.39</v>
      </c>
      <c r="G201" s="20" t="n">
        <v>2.4</v>
      </c>
      <c r="H201" s="26" t="n">
        <v>2</v>
      </c>
      <c r="I201" s="26" t="n">
        <v>2</v>
      </c>
      <c r="J201" s="26" t="n">
        <v>1</v>
      </c>
      <c r="K201" s="20" t="n">
        <v>0.08</v>
      </c>
      <c r="L201" s="20" t="n">
        <v>49.37</v>
      </c>
      <c r="M201" s="20" t="n">
        <v>3.67486326256383</v>
      </c>
      <c r="N201" s="20" t="n">
        <v>457.8</v>
      </c>
      <c r="O201" s="20" t="n">
        <v>1.0900675024108</v>
      </c>
      <c r="P201" s="20" t="n">
        <v>0.54753859507719</v>
      </c>
      <c r="Q201" s="20" t="n">
        <v>489</v>
      </c>
      <c r="R201" s="20" t="n">
        <v>0.241869222868881</v>
      </c>
      <c r="S201" s="20" t="n">
        <v>489</v>
      </c>
      <c r="U201" s="35"/>
      <c r="V201" s="28" t="n">
        <v>0.292879586426633</v>
      </c>
      <c r="W201" s="29" t="n">
        <f aca="false">D201/C201</f>
        <v>18.75</v>
      </c>
      <c r="X201" s="35"/>
      <c r="Y201" s="30" t="n">
        <v>2.39566639625041</v>
      </c>
      <c r="Z201" s="30" t="n">
        <v>5.42326054269285</v>
      </c>
      <c r="AA201" s="30" t="n">
        <v>10.807940903992</v>
      </c>
      <c r="AB201" s="30" t="n">
        <v>34.0764108082179</v>
      </c>
      <c r="AD201" s="28" t="n">
        <v>975.4946</v>
      </c>
      <c r="AE201" s="30" t="n">
        <f aca="false">AD201*1000/C201/D201*145.038/SQRT(145.038*L201)</f>
        <v>8.63864285139053</v>
      </c>
      <c r="AF201" s="32" t="n">
        <f aca="false">AD201*1000/C201/D201</f>
        <v>5.04006551346436</v>
      </c>
    </row>
    <row r="202" customFormat="false" ht="25.5" hidden="false" customHeight="true" outlineLevel="0" collapsed="false">
      <c r="A202" s="33"/>
      <c r="B202" s="34" t="s">
        <v>267</v>
      </c>
      <c r="C202" s="41" t="n">
        <v>101.6</v>
      </c>
      <c r="D202" s="26" t="n">
        <v>1905</v>
      </c>
      <c r="E202" s="26" t="n">
        <v>4572</v>
      </c>
      <c r="F202" s="20" t="n">
        <v>2.39</v>
      </c>
      <c r="G202" s="20" t="n">
        <v>2.4</v>
      </c>
      <c r="H202" s="26" t="n">
        <v>2</v>
      </c>
      <c r="I202" s="26" t="n">
        <v>2</v>
      </c>
      <c r="J202" s="26" t="n">
        <v>1</v>
      </c>
      <c r="K202" s="20" t="n">
        <v>0.09</v>
      </c>
      <c r="L202" s="20" t="n">
        <v>41.99</v>
      </c>
      <c r="M202" s="20" t="n">
        <v>3.67486326256383</v>
      </c>
      <c r="N202" s="20" t="n">
        <v>447.5</v>
      </c>
      <c r="O202" s="20" t="n">
        <v>1.0900675024108</v>
      </c>
      <c r="P202" s="20" t="n">
        <v>1.37264883904768</v>
      </c>
      <c r="Q202" s="20" t="n">
        <v>482</v>
      </c>
      <c r="R202" s="20" t="n">
        <v>0.241869222868881</v>
      </c>
      <c r="S202" s="20" t="n">
        <v>482</v>
      </c>
      <c r="U202" s="35"/>
      <c r="V202" s="28" t="n">
        <v>0.292879586426633</v>
      </c>
      <c r="W202" s="29" t="n">
        <f aca="false">D202/C202</f>
        <v>18.75</v>
      </c>
      <c r="X202" s="35"/>
      <c r="Y202" s="30" t="n">
        <v>2.77639831919029</v>
      </c>
      <c r="Z202" s="30" t="n">
        <v>15.756531088854</v>
      </c>
      <c r="AA202" s="30" t="n">
        <v>11.7781287412189</v>
      </c>
      <c r="AB202" s="30" t="n">
        <v>39.1641178851468</v>
      </c>
      <c r="AD202" s="28" t="n">
        <v>977.062</v>
      </c>
      <c r="AE202" s="30" t="n">
        <f aca="false">AD202*1000/C202/D202*145.038/SQRT(145.038*L202)</f>
        <v>9.38212897662971</v>
      </c>
      <c r="AF202" s="32" t="n">
        <f aca="false">AD202*1000/C202/D202</f>
        <v>5.04816376299419</v>
      </c>
    </row>
    <row r="203" customFormat="false" ht="25.5" hidden="false" customHeight="true" outlineLevel="0" collapsed="false">
      <c r="A203" s="33"/>
      <c r="B203" s="34" t="s">
        <v>268</v>
      </c>
      <c r="C203" s="41" t="n">
        <v>101.6</v>
      </c>
      <c r="D203" s="26" t="n">
        <v>1905</v>
      </c>
      <c r="E203" s="26" t="n">
        <v>4572</v>
      </c>
      <c r="F203" s="20" t="n">
        <v>2.39</v>
      </c>
      <c r="G203" s="20" t="n">
        <v>2.4</v>
      </c>
      <c r="H203" s="26" t="n">
        <v>2</v>
      </c>
      <c r="I203" s="26" t="n">
        <v>2</v>
      </c>
      <c r="J203" s="26" t="n">
        <v>1</v>
      </c>
      <c r="K203" s="20" t="n">
        <v>0.09</v>
      </c>
      <c r="L203" s="20" t="n">
        <v>44.13</v>
      </c>
      <c r="M203" s="20" t="n">
        <v>3.67486326256383</v>
      </c>
      <c r="N203" s="20" t="n">
        <v>429.6</v>
      </c>
      <c r="O203" s="20" t="n">
        <v>1.0900675024108</v>
      </c>
      <c r="P203" s="20" t="n">
        <v>0.54753859507719</v>
      </c>
      <c r="Q203" s="20" t="n">
        <v>461.3</v>
      </c>
      <c r="R203" s="20" t="n">
        <v>0.241869222868881</v>
      </c>
      <c r="S203" s="20" t="n">
        <v>461.3</v>
      </c>
      <c r="U203" s="35"/>
      <c r="V203" s="28" t="n">
        <v>0.292879586426633</v>
      </c>
      <c r="W203" s="29" t="n">
        <f aca="false">D203/C203</f>
        <v>18.75</v>
      </c>
      <c r="X203" s="35"/>
      <c r="Y203" s="30" t="n">
        <v>2.52830891704996</v>
      </c>
      <c r="Z203" s="30" t="n">
        <v>5.7235339657627</v>
      </c>
      <c r="AA203" s="30" t="n">
        <v>11.3947006313642</v>
      </c>
      <c r="AB203" s="30" t="n">
        <v>35.7743316926676</v>
      </c>
      <c r="AD203" s="28" t="n">
        <v>982.348</v>
      </c>
      <c r="AE203" s="30" t="n">
        <f aca="false">AD203*1000/C203/D203*145.038/SQRT(145.038*L203)</f>
        <v>9.20133017238006</v>
      </c>
      <c r="AF203" s="32" t="n">
        <f aca="false">AD203*1000/C203/D203</f>
        <v>5.0754748176163</v>
      </c>
    </row>
    <row r="204" customFormat="false" ht="25.5" hidden="false" customHeight="true" outlineLevel="0" collapsed="false">
      <c r="A204" s="33"/>
      <c r="B204" s="34" t="s">
        <v>269</v>
      </c>
      <c r="C204" s="41" t="n">
        <v>101.6</v>
      </c>
      <c r="D204" s="26" t="n">
        <v>1905</v>
      </c>
      <c r="E204" s="26" t="n">
        <v>4572</v>
      </c>
      <c r="F204" s="20" t="n">
        <v>2.39</v>
      </c>
      <c r="G204" s="20" t="n">
        <v>2.4</v>
      </c>
      <c r="H204" s="26" t="n">
        <v>2</v>
      </c>
      <c r="I204" s="26" t="n">
        <v>2</v>
      </c>
      <c r="J204" s="26" t="n">
        <v>1</v>
      </c>
      <c r="K204" s="20" t="n">
        <v>0.08</v>
      </c>
      <c r="L204" s="20" t="n">
        <v>45.64</v>
      </c>
      <c r="M204" s="20" t="n">
        <v>2.56003246439129</v>
      </c>
      <c r="N204" s="20" t="n">
        <v>447.5</v>
      </c>
      <c r="O204" s="20" t="n">
        <v>1.0900675024108</v>
      </c>
      <c r="P204" s="20" t="n">
        <v>0.54753859507719</v>
      </c>
      <c r="Q204" s="20" t="n">
        <v>475.1</v>
      </c>
      <c r="R204" s="20" t="n">
        <v>0.241869222868881</v>
      </c>
      <c r="S204" s="20" t="n">
        <v>475.1</v>
      </c>
      <c r="U204" s="35"/>
      <c r="V204" s="28" t="n">
        <v>0.292879586426633</v>
      </c>
      <c r="W204" s="29" t="n">
        <f aca="false">D204/C204</f>
        <v>18.75</v>
      </c>
      <c r="X204" s="35"/>
      <c r="Y204" s="30" t="n">
        <v>2.5177928962534</v>
      </c>
      <c r="Z204" s="30" t="n">
        <v>5.69972801317207</v>
      </c>
      <c r="AA204" s="30" t="n">
        <v>11.347306538023</v>
      </c>
      <c r="AB204" s="30" t="n">
        <v>25.1011070949847</v>
      </c>
      <c r="AD204" s="28" t="n">
        <v>682.896</v>
      </c>
      <c r="AE204" s="30" t="n">
        <f aca="false">AD204*1000/C204/D204*145.038/SQRT(145.038*L204)</f>
        <v>6.28975840681287</v>
      </c>
      <c r="AF204" s="32" t="n">
        <f aca="false">AD204*1000/C204/D204</f>
        <v>3.52830305660611</v>
      </c>
    </row>
    <row r="205" customFormat="false" ht="25.5" hidden="false" customHeight="true" outlineLevel="0" collapsed="false">
      <c r="A205" s="33"/>
      <c r="B205" s="34" t="s">
        <v>270</v>
      </c>
      <c r="C205" s="41" t="n">
        <v>101.6</v>
      </c>
      <c r="D205" s="26" t="n">
        <v>1905</v>
      </c>
      <c r="E205" s="26" t="n">
        <v>4572</v>
      </c>
      <c r="F205" s="20" t="n">
        <v>2.39</v>
      </c>
      <c r="G205" s="20" t="n">
        <v>2.4</v>
      </c>
      <c r="H205" s="26" t="n">
        <v>3</v>
      </c>
      <c r="I205" s="26" t="n">
        <v>2</v>
      </c>
      <c r="J205" s="26" t="n">
        <v>1</v>
      </c>
      <c r="K205" s="20" t="n">
        <v>0</v>
      </c>
      <c r="L205" s="20" t="n">
        <v>38.47</v>
      </c>
      <c r="M205" s="20" t="n">
        <v>3.81938612368024</v>
      </c>
      <c r="N205" s="20" t="n">
        <v>444.73</v>
      </c>
      <c r="O205" s="20" t="n">
        <v>0.209359180145697</v>
      </c>
      <c r="P205" s="20" t="n">
        <v>0.62505529505441</v>
      </c>
      <c r="Q205" s="20" t="n">
        <v>525.4</v>
      </c>
      <c r="R205" s="20" t="n">
        <v>0.241869222868881</v>
      </c>
      <c r="S205" s="20" t="n">
        <v>525.4</v>
      </c>
      <c r="U205" s="35"/>
      <c r="V205" s="28" t="n">
        <v>0.258939869709894</v>
      </c>
      <c r="W205" s="29" t="n">
        <f aca="false">D205/C205</f>
        <v>18.75</v>
      </c>
      <c r="X205" s="35"/>
      <c r="Y205" s="30" t="n">
        <v>3.30330360528489</v>
      </c>
      <c r="Z205" s="30" t="n">
        <v>8.53662729455646</v>
      </c>
      <c r="AA205" s="30" t="n">
        <v>2.85930109822067</v>
      </c>
      <c r="AB205" s="30" t="n">
        <v>44.1537715306554</v>
      </c>
      <c r="AD205" s="28" t="n">
        <v>807.7075</v>
      </c>
      <c r="AE205" s="30" t="n">
        <f aca="false">AD205*1000/C205/D205*145.038/SQRT(145.038*L205)</f>
        <v>8.10298874472418</v>
      </c>
      <c r="AF205" s="32" t="n">
        <f aca="false">AD205*1000/C205/D205</f>
        <v>4.17316376299419</v>
      </c>
    </row>
    <row r="206" customFormat="false" ht="25.5" hidden="false" customHeight="true" outlineLevel="0" collapsed="false">
      <c r="A206" s="33"/>
      <c r="B206" s="34" t="s">
        <v>271</v>
      </c>
      <c r="C206" s="41" t="n">
        <v>101.6</v>
      </c>
      <c r="D206" s="26" t="n">
        <v>1905</v>
      </c>
      <c r="E206" s="26" t="n">
        <v>4572</v>
      </c>
      <c r="F206" s="20" t="n">
        <v>2.39</v>
      </c>
      <c r="G206" s="20" t="n">
        <v>2.4</v>
      </c>
      <c r="H206" s="26" t="n">
        <v>3</v>
      </c>
      <c r="I206" s="26" t="n">
        <v>2</v>
      </c>
      <c r="J206" s="26" t="n">
        <v>1</v>
      </c>
      <c r="K206" s="20" t="n">
        <v>0.07</v>
      </c>
      <c r="L206" s="20" t="n">
        <v>45.58</v>
      </c>
      <c r="M206" s="20" t="n">
        <v>2</v>
      </c>
      <c r="N206" s="20" t="n">
        <v>430.25</v>
      </c>
      <c r="O206" s="20" t="n">
        <v>0.548</v>
      </c>
      <c r="P206" s="20" t="n">
        <v>0.54753859507719</v>
      </c>
      <c r="Q206" s="20" t="n">
        <v>464.03</v>
      </c>
      <c r="R206" s="20" t="n">
        <v>0.206036745406824</v>
      </c>
      <c r="S206" s="20" t="n">
        <v>464.03</v>
      </c>
      <c r="U206" s="35"/>
      <c r="V206" s="28" t="n">
        <v>0.258939869709894</v>
      </c>
      <c r="W206" s="29" t="n">
        <f aca="false">D206/C206</f>
        <v>18.75</v>
      </c>
      <c r="X206" s="35"/>
      <c r="Y206" s="30" t="n">
        <v>2.09756978874789</v>
      </c>
      <c r="Z206" s="30" t="n">
        <v>5.57425042285363</v>
      </c>
      <c r="AA206" s="30" t="n">
        <v>5.57894778411584</v>
      </c>
      <c r="AB206" s="30" t="n">
        <v>18.8788942518649</v>
      </c>
      <c r="AD206" s="28" t="n">
        <v>876.1075</v>
      </c>
      <c r="AE206" s="30" t="n">
        <f aca="false">AD206*1000/C206/D206*145.038/SQRT(145.038*L206)</f>
        <v>8.07462665363958</v>
      </c>
      <c r="AF206" s="32" t="n">
        <f aca="false">AD206*1000/C206/D206</f>
        <v>4.52656446979561</v>
      </c>
    </row>
    <row r="207" customFormat="false" ht="25.5" hidden="false" customHeight="true" outlineLevel="0" collapsed="false">
      <c r="A207" s="42" t="s">
        <v>272</v>
      </c>
      <c r="B207" s="25" t="s">
        <v>273</v>
      </c>
      <c r="C207" s="26" t="n">
        <v>75</v>
      </c>
      <c r="D207" s="26" t="n">
        <v>3075</v>
      </c>
      <c r="E207" s="26" t="n">
        <v>2020</v>
      </c>
      <c r="F207" s="13" t="n">
        <v>0.656910569105691</v>
      </c>
      <c r="G207" s="20" t="n">
        <v>0.656910569105691</v>
      </c>
      <c r="H207" s="26" t="n">
        <v>3</v>
      </c>
      <c r="I207" s="26" t="n">
        <v>2</v>
      </c>
      <c r="J207" s="26" t="n">
        <v>1</v>
      </c>
      <c r="K207" s="28" t="n">
        <v>0.0695657315727986</v>
      </c>
      <c r="L207" s="20" t="n">
        <v>21.7</v>
      </c>
      <c r="M207" s="20" t="n">
        <v>0.372316999395039</v>
      </c>
      <c r="N207" s="20" t="n">
        <v>605</v>
      </c>
      <c r="O207" s="20" t="n">
        <v>0.567</v>
      </c>
      <c r="P207" s="20" t="n">
        <v>0.732666666666667</v>
      </c>
      <c r="Q207" s="20" t="n">
        <v>605</v>
      </c>
      <c r="R207" s="20" t="n">
        <v>0.818</v>
      </c>
      <c r="S207" s="20" t="n">
        <v>605</v>
      </c>
      <c r="U207" s="27" t="s">
        <v>274</v>
      </c>
      <c r="V207" s="28" t="n">
        <v>0.36390225492971</v>
      </c>
      <c r="W207" s="29" t="n">
        <f aca="false">D207/C207</f>
        <v>41</v>
      </c>
      <c r="X207" s="13"/>
      <c r="Y207" s="30" t="n">
        <v>22.8059907834101</v>
      </c>
      <c r="Z207" s="30" t="n">
        <v>20.4268817204301</v>
      </c>
      <c r="AA207" s="30" t="n">
        <v>15.808064516129</v>
      </c>
      <c r="AB207" s="30" t="n">
        <v>10.3802665729953</v>
      </c>
      <c r="AD207" s="28" t="n">
        <v>1276.5</v>
      </c>
      <c r="AE207" s="30" t="n">
        <f aca="false">AD207*1000/C207/D207*145.038/SQRT(145.038*L207)</f>
        <v>14.309533309444</v>
      </c>
      <c r="AF207" s="32" t="n">
        <f aca="false">AD207*1000/C207/D207</f>
        <v>5.5349593495935</v>
      </c>
    </row>
    <row r="208" customFormat="false" ht="25.5" hidden="false" customHeight="true" outlineLevel="0" collapsed="false">
      <c r="A208" s="42"/>
      <c r="B208" s="25" t="s">
        <v>275</v>
      </c>
      <c r="C208" s="26" t="n">
        <v>75</v>
      </c>
      <c r="D208" s="26" t="n">
        <v>3085</v>
      </c>
      <c r="E208" s="26" t="n">
        <v>2020</v>
      </c>
      <c r="F208" s="13" t="n">
        <v>0.654781199351702</v>
      </c>
      <c r="G208" s="20" t="n">
        <v>0.654781199351702</v>
      </c>
      <c r="H208" s="26" t="n">
        <v>3</v>
      </c>
      <c r="I208" s="26" t="n">
        <v>1</v>
      </c>
      <c r="J208" s="26" t="n">
        <v>1</v>
      </c>
      <c r="K208" s="28" t="n">
        <v>0</v>
      </c>
      <c r="L208" s="20" t="n">
        <v>18.8</v>
      </c>
      <c r="M208" s="20" t="n">
        <v>0.353701149425287</v>
      </c>
      <c r="N208" s="20" t="n">
        <v>605</v>
      </c>
      <c r="O208" s="20" t="n">
        <v>0.539</v>
      </c>
      <c r="P208" s="20" t="n">
        <v>0.732666666666667</v>
      </c>
      <c r="Q208" s="20" t="n">
        <v>605</v>
      </c>
      <c r="R208" s="20" t="n">
        <v>0.818</v>
      </c>
      <c r="S208" s="20" t="n">
        <v>605</v>
      </c>
      <c r="U208" s="27" t="s">
        <v>276</v>
      </c>
      <c r="V208" s="28" t="n">
        <v>0.368923216719673</v>
      </c>
      <c r="W208" s="29" t="n">
        <f aca="false">D208/C208</f>
        <v>41.1333333333333</v>
      </c>
      <c r="X208" s="13"/>
      <c r="Y208" s="30" t="n">
        <v>26.3239361702128</v>
      </c>
      <c r="Z208" s="30" t="n">
        <v>23.5778368794326</v>
      </c>
      <c r="AA208" s="30" t="n">
        <v>17.3454787234043</v>
      </c>
      <c r="AB208" s="30" t="n">
        <v>11.3824040107606</v>
      </c>
      <c r="AD208" s="28" t="n">
        <v>891.5</v>
      </c>
      <c r="AE208" s="30" t="n">
        <f aca="false">AD208*1000/C208/D208*145.038/SQRT(145.038*L208)</f>
        <v>10.7020479464424</v>
      </c>
      <c r="AF208" s="32" t="n">
        <f aca="false">AD208*1000/C208/D208</f>
        <v>3.85305240410589</v>
      </c>
    </row>
    <row r="209" customFormat="false" ht="25.5" hidden="false" customHeight="true" outlineLevel="0" collapsed="false">
      <c r="A209" s="42" t="s">
        <v>277</v>
      </c>
      <c r="B209" s="25" t="s">
        <v>278</v>
      </c>
      <c r="C209" s="13" t="n">
        <v>300</v>
      </c>
      <c r="D209" s="13" t="n">
        <v>1200</v>
      </c>
      <c r="E209" s="13" t="n">
        <v>3250</v>
      </c>
      <c r="F209" s="20" t="n">
        <v>1</v>
      </c>
      <c r="G209" s="20" t="n">
        <v>2.70833333333333</v>
      </c>
      <c r="H209" s="26" t="n">
        <v>1</v>
      </c>
      <c r="I209" s="13" t="n">
        <v>1</v>
      </c>
      <c r="J209" s="13" t="n">
        <v>1</v>
      </c>
      <c r="K209" s="28" t="n">
        <v>0.0718414843414843</v>
      </c>
      <c r="L209" s="13" t="n">
        <v>25.9</v>
      </c>
      <c r="M209" s="20" t="n">
        <v>4.431168</v>
      </c>
      <c r="N209" s="20" t="n">
        <v>423</v>
      </c>
      <c r="O209" s="20" t="n">
        <v>0</v>
      </c>
      <c r="P209" s="20" t="n">
        <v>0.14952380952381</v>
      </c>
      <c r="Q209" s="20" t="n">
        <v>320</v>
      </c>
      <c r="R209" s="20" t="n">
        <v>0.14952380952381</v>
      </c>
      <c r="S209" s="20" t="n">
        <v>453</v>
      </c>
      <c r="U209" s="27" t="n">
        <v>13</v>
      </c>
      <c r="V209" s="28" t="n">
        <v>0.0625</v>
      </c>
      <c r="W209" s="29" t="n">
        <f aca="false">D209/C209</f>
        <v>4</v>
      </c>
      <c r="X209" s="13"/>
      <c r="Y209" s="30" t="n">
        <v>2.61522338665196</v>
      </c>
      <c r="Z209" s="30" t="n">
        <v>1.84739841882699</v>
      </c>
      <c r="AA209" s="30" t="n">
        <v>0</v>
      </c>
      <c r="AB209" s="30" t="n">
        <v>72.3700410810811</v>
      </c>
      <c r="AD209" s="39" t="n">
        <v>186.65</v>
      </c>
      <c r="AE209" s="30" t="n">
        <f aca="false">AD209*1000/C209/D209*145.038/SQRT(145.038*L209)</f>
        <v>1.22692075351869</v>
      </c>
      <c r="AF209" s="32" t="n">
        <f aca="false">AD209*1000/C209/D209</f>
        <v>0.518472222222222</v>
      </c>
    </row>
    <row r="210" customFormat="false" ht="25.5" hidden="false" customHeight="true" outlineLevel="0" collapsed="false">
      <c r="A210" s="42"/>
      <c r="B210" s="25" t="s">
        <v>279</v>
      </c>
      <c r="C210" s="13" t="n">
        <v>300</v>
      </c>
      <c r="D210" s="13" t="n">
        <v>1200</v>
      </c>
      <c r="E210" s="13" t="n">
        <v>3750</v>
      </c>
      <c r="F210" s="20" t="n">
        <v>1</v>
      </c>
      <c r="G210" s="20" t="n">
        <v>3.125</v>
      </c>
      <c r="H210" s="26" t="n">
        <v>1</v>
      </c>
      <c r="I210" s="13" t="n">
        <v>1</v>
      </c>
      <c r="J210" s="13" t="n">
        <v>1</v>
      </c>
      <c r="K210" s="28" t="n">
        <v>0.0964071856287425</v>
      </c>
      <c r="L210" s="13" t="n">
        <v>33.4</v>
      </c>
      <c r="M210" s="20" t="n">
        <v>4.431168</v>
      </c>
      <c r="N210" s="20" t="n">
        <v>393</v>
      </c>
      <c r="O210" s="20" t="n">
        <v>0</v>
      </c>
      <c r="P210" s="20" t="n">
        <v>0.14952380952381</v>
      </c>
      <c r="Q210" s="20" t="n">
        <v>320</v>
      </c>
      <c r="R210" s="20" t="n">
        <v>0.14952380952381</v>
      </c>
      <c r="S210" s="20" t="n">
        <v>453</v>
      </c>
      <c r="U210" s="27" t="n">
        <v>13</v>
      </c>
      <c r="V210" s="28" t="n">
        <v>0.0625</v>
      </c>
      <c r="W210" s="29" t="n">
        <f aca="false">D210/C210</f>
        <v>4</v>
      </c>
      <c r="X210" s="13"/>
      <c r="Y210" s="30" t="n">
        <v>2.02797262617622</v>
      </c>
      <c r="Z210" s="30" t="n">
        <v>1.43256344453949</v>
      </c>
      <c r="AA210" s="30" t="n">
        <v>0</v>
      </c>
      <c r="AB210" s="30" t="n">
        <v>52.1391923353293</v>
      </c>
      <c r="AD210" s="39" t="n">
        <v>188</v>
      </c>
      <c r="AE210" s="30" t="n">
        <f aca="false">AD210*1000/C210/D210*145.038/SQRT(145.038*L210)</f>
        <v>1.08823581852358</v>
      </c>
      <c r="AF210" s="32" t="n">
        <f aca="false">AD210*1000/C210/D210</f>
        <v>0.522222222222222</v>
      </c>
    </row>
    <row r="211" customFormat="false" ht="21" hidden="false" customHeight="true" outlineLevel="0" collapsed="false">
      <c r="A211" s="42" t="s">
        <v>280</v>
      </c>
      <c r="B211" s="25" t="s">
        <v>41</v>
      </c>
      <c r="C211" s="26" t="n">
        <v>200</v>
      </c>
      <c r="D211" s="26" t="n">
        <v>1500</v>
      </c>
      <c r="E211" s="26" t="n">
        <v>1500</v>
      </c>
      <c r="F211" s="13" t="n">
        <v>1</v>
      </c>
      <c r="G211" s="20" t="n">
        <v>1</v>
      </c>
      <c r="H211" s="26" t="n">
        <v>1</v>
      </c>
      <c r="I211" s="26" t="n">
        <v>1</v>
      </c>
      <c r="J211" s="26" t="n">
        <v>1</v>
      </c>
      <c r="K211" s="20" t="n">
        <v>0.0702898550724638</v>
      </c>
      <c r="L211" s="20" t="n">
        <v>46</v>
      </c>
      <c r="M211" s="20" t="n">
        <v>9.61625</v>
      </c>
      <c r="N211" s="20" t="n">
        <v>617</v>
      </c>
      <c r="O211" s="20" t="n">
        <v>0</v>
      </c>
      <c r="P211" s="20" t="n">
        <v>0.5064506</v>
      </c>
      <c r="Q211" s="20" t="n">
        <v>667</v>
      </c>
      <c r="R211" s="29" t="n">
        <v>0.66</v>
      </c>
      <c r="S211" s="20" t="n">
        <v>653</v>
      </c>
      <c r="U211" s="27" t="n">
        <v>23</v>
      </c>
      <c r="V211" s="28" t="n">
        <v>0.2</v>
      </c>
      <c r="W211" s="29" t="n">
        <f aca="false">D211/C211</f>
        <v>7.5</v>
      </c>
      <c r="X211" s="13"/>
      <c r="Y211" s="30" t="n">
        <v>9.36913043478261</v>
      </c>
      <c r="Z211" s="30" t="n">
        <v>7.3435337</v>
      </c>
      <c r="AA211" s="30" t="n">
        <v>0</v>
      </c>
      <c r="AB211" s="30" t="n">
        <v>128.983179347826</v>
      </c>
      <c r="AD211" s="31" t="n">
        <v>2158</v>
      </c>
      <c r="AE211" s="30" t="n">
        <f aca="false">AD211*1000/C211/D211*145.038/SQRT(145.038*L211)</f>
        <v>12.7729782013958</v>
      </c>
      <c r="AF211" s="32" t="n">
        <f aca="false">AD211*1000/C211/D211</f>
        <v>7.19333333333333</v>
      </c>
    </row>
    <row r="212" customFormat="false" ht="25.5" hidden="false" customHeight="true" outlineLevel="0" collapsed="false">
      <c r="A212" s="42"/>
      <c r="B212" s="25" t="s">
        <v>281</v>
      </c>
      <c r="C212" s="26" t="n">
        <v>200</v>
      </c>
      <c r="D212" s="26" t="n">
        <v>1500</v>
      </c>
      <c r="E212" s="26" t="n">
        <v>1500</v>
      </c>
      <c r="F212" s="13" t="n">
        <v>1</v>
      </c>
      <c r="G212" s="20" t="n">
        <v>1</v>
      </c>
      <c r="H212" s="26" t="n">
        <v>1</v>
      </c>
      <c r="I212" s="26" t="n">
        <v>1</v>
      </c>
      <c r="J212" s="26" t="n">
        <v>1</v>
      </c>
      <c r="K212" s="20" t="n">
        <v>0.0702898550724638</v>
      </c>
      <c r="L212" s="20" t="n">
        <v>46</v>
      </c>
      <c r="M212" s="20" t="n">
        <v>9.61625</v>
      </c>
      <c r="N212" s="20" t="n">
        <v>617</v>
      </c>
      <c r="O212" s="20" t="n">
        <v>0</v>
      </c>
      <c r="P212" s="20" t="n">
        <v>0.703403611111111</v>
      </c>
      <c r="Q212" s="20" t="n">
        <v>477</v>
      </c>
      <c r="R212" s="29" t="n">
        <v>0.66</v>
      </c>
      <c r="S212" s="20" t="n">
        <v>653</v>
      </c>
      <c r="U212" s="27" t="n">
        <v>23</v>
      </c>
      <c r="V212" s="28" t="n">
        <v>0.2</v>
      </c>
      <c r="W212" s="29" t="n">
        <f aca="false">D212/C212</f>
        <v>7.5</v>
      </c>
      <c r="X212" s="13"/>
      <c r="Y212" s="30" t="n">
        <v>9.36913043478261</v>
      </c>
      <c r="Z212" s="30" t="n">
        <v>7.29398961956522</v>
      </c>
      <c r="AA212" s="30" t="n">
        <v>0</v>
      </c>
      <c r="AB212" s="30" t="n">
        <v>128.983179347826</v>
      </c>
      <c r="AD212" s="31" t="n">
        <v>2290.8</v>
      </c>
      <c r="AE212" s="30" t="n">
        <f aca="false">AD212*1000/C212/D212*145.038/SQRT(145.038*L212)</f>
        <v>13.559007629174</v>
      </c>
      <c r="AF212" s="32" t="n">
        <f aca="false">AD212*1000/C212/D212</f>
        <v>7.636</v>
      </c>
    </row>
    <row r="213" customFormat="false" ht="25.5" hidden="false" customHeight="true" outlineLevel="0" collapsed="false">
      <c r="A213" s="42"/>
      <c r="B213" s="25" t="s">
        <v>282</v>
      </c>
      <c r="C213" s="26" t="n">
        <v>200</v>
      </c>
      <c r="D213" s="26" t="n">
        <v>1500</v>
      </c>
      <c r="E213" s="26" t="n">
        <v>1500</v>
      </c>
      <c r="F213" s="13" t="n">
        <v>1</v>
      </c>
      <c r="G213" s="20" t="n">
        <v>1</v>
      </c>
      <c r="H213" s="26" t="n">
        <v>1</v>
      </c>
      <c r="I213" s="26" t="n">
        <v>1</v>
      </c>
      <c r="J213" s="26" t="n">
        <v>1</v>
      </c>
      <c r="K213" s="20" t="n">
        <v>0.07</v>
      </c>
      <c r="L213" s="20" t="n">
        <v>70</v>
      </c>
      <c r="M213" s="20" t="n">
        <v>9.61625</v>
      </c>
      <c r="N213" s="20" t="n">
        <v>617</v>
      </c>
      <c r="O213" s="20" t="n">
        <v>0</v>
      </c>
      <c r="P213" s="20" t="n">
        <v>0.5064506</v>
      </c>
      <c r="Q213" s="20" t="n">
        <v>667</v>
      </c>
      <c r="R213" s="29" t="n">
        <v>0.66</v>
      </c>
      <c r="S213" s="20" t="n">
        <v>653</v>
      </c>
      <c r="U213" s="27" t="n">
        <v>23</v>
      </c>
      <c r="V213" s="28" t="n">
        <v>0.2</v>
      </c>
      <c r="W213" s="29" t="n">
        <f aca="false">D213/C213</f>
        <v>7.5</v>
      </c>
      <c r="X213" s="13"/>
      <c r="Y213" s="30" t="n">
        <v>6.15685714285714</v>
      </c>
      <c r="Z213" s="30" t="n">
        <v>4.82575071714286</v>
      </c>
      <c r="AA213" s="30" t="n">
        <v>0</v>
      </c>
      <c r="AB213" s="30" t="n">
        <v>84.760375</v>
      </c>
      <c r="AD213" s="31" t="n">
        <v>2104.7</v>
      </c>
      <c r="AE213" s="30" t="n">
        <f aca="false">AD213*1000/C213/D213*145.038/SQRT(145.038*L213)</f>
        <v>10.0985920282917</v>
      </c>
      <c r="AF213" s="32" t="n">
        <f aca="false">AD213*1000/C213/D213</f>
        <v>7.01566666666667</v>
      </c>
    </row>
    <row r="214" customFormat="false" ht="25.5" hidden="false" customHeight="true" outlineLevel="0" collapsed="false">
      <c r="A214" s="42"/>
      <c r="B214" s="25" t="s">
        <v>42</v>
      </c>
      <c r="C214" s="26" t="n">
        <v>200</v>
      </c>
      <c r="D214" s="26" t="n">
        <v>1500</v>
      </c>
      <c r="E214" s="26" t="n">
        <v>1500</v>
      </c>
      <c r="F214" s="13" t="n">
        <v>1</v>
      </c>
      <c r="G214" s="20" t="n">
        <v>1</v>
      </c>
      <c r="H214" s="26" t="n">
        <v>2</v>
      </c>
      <c r="I214" s="26" t="n">
        <v>1</v>
      </c>
      <c r="J214" s="26" t="n">
        <v>1</v>
      </c>
      <c r="K214" s="20" t="n">
        <v>0.0735294117647059</v>
      </c>
      <c r="L214" s="20" t="n">
        <v>46</v>
      </c>
      <c r="M214" s="20" t="n">
        <v>9.61625</v>
      </c>
      <c r="N214" s="20" t="n">
        <v>617</v>
      </c>
      <c r="O214" s="29" t="n">
        <v>2.30204818181818</v>
      </c>
      <c r="P214" s="20" t="n">
        <v>0.5064506</v>
      </c>
      <c r="Q214" s="20" t="n">
        <v>667</v>
      </c>
      <c r="R214" s="29" t="n">
        <v>0.52</v>
      </c>
      <c r="S214" s="20" t="n">
        <v>653</v>
      </c>
      <c r="U214" s="27" t="n">
        <v>23</v>
      </c>
      <c r="V214" s="28" t="n">
        <v>0.176470588235294</v>
      </c>
      <c r="W214" s="29" t="n">
        <f aca="false">D214/C214</f>
        <v>7.5</v>
      </c>
      <c r="X214" s="13"/>
      <c r="Y214" s="30" t="n">
        <v>7.38173913043478</v>
      </c>
      <c r="Z214" s="30" t="n">
        <v>7.3435337</v>
      </c>
      <c r="AA214" s="30" t="n">
        <v>33.3796986363636</v>
      </c>
      <c r="AB214" s="30" t="n">
        <v>128.983179347826</v>
      </c>
      <c r="AD214" s="31" t="n">
        <v>2518.85</v>
      </c>
      <c r="AE214" s="30" t="n">
        <f aca="false">AD214*1000/C214/D214*145.038/SQRT(145.038*L214)</f>
        <v>14.9088119289091</v>
      </c>
      <c r="AF214" s="32" t="n">
        <f aca="false">AD214*1000/C214/D214</f>
        <v>8.39616666666667</v>
      </c>
    </row>
    <row r="215" customFormat="false" ht="25.5" hidden="false" customHeight="true" outlineLevel="0" collapsed="false">
      <c r="A215" s="42"/>
      <c r="B215" s="25" t="s">
        <v>283</v>
      </c>
      <c r="C215" s="26" t="n">
        <v>200</v>
      </c>
      <c r="D215" s="26" t="n">
        <v>1500</v>
      </c>
      <c r="E215" s="26" t="n">
        <v>1500</v>
      </c>
      <c r="F215" s="13" t="n">
        <v>1</v>
      </c>
      <c r="G215" s="20" t="n">
        <v>1</v>
      </c>
      <c r="H215" s="26" t="n">
        <v>1</v>
      </c>
      <c r="I215" s="26" t="n">
        <v>1</v>
      </c>
      <c r="J215" s="26" t="n">
        <v>1</v>
      </c>
      <c r="K215" s="20" t="n">
        <v>0.0702898550724638</v>
      </c>
      <c r="L215" s="20" t="n">
        <v>46</v>
      </c>
      <c r="M215" s="20" t="n">
        <v>9.61625</v>
      </c>
      <c r="N215" s="20" t="n">
        <v>617</v>
      </c>
      <c r="O215" s="20" t="n">
        <v>0</v>
      </c>
      <c r="P215" s="20" t="n">
        <v>0.2532253</v>
      </c>
      <c r="Q215" s="20" t="n">
        <v>667</v>
      </c>
      <c r="R215" s="29" t="n">
        <v>0.361011835797289</v>
      </c>
      <c r="S215" s="20" t="n">
        <v>653</v>
      </c>
      <c r="U215" s="27" t="n">
        <v>23</v>
      </c>
      <c r="V215" s="28" t="n">
        <v>0.133333333333333</v>
      </c>
      <c r="W215" s="29" t="n">
        <f aca="false">D215/C215</f>
        <v>7.5</v>
      </c>
      <c r="X215" s="13"/>
      <c r="Y215" s="30" t="n">
        <v>5.12479845164412</v>
      </c>
      <c r="Z215" s="30" t="n">
        <v>3.67176685</v>
      </c>
      <c r="AA215" s="30" t="n">
        <v>0</v>
      </c>
      <c r="AB215" s="30" t="n">
        <v>128.983179347826</v>
      </c>
      <c r="AD215" s="31" t="n">
        <v>1482.315</v>
      </c>
      <c r="AE215" s="30" t="n">
        <f aca="false">AD215*1000/C215/D215*145.038/SQRT(145.038*L215)</f>
        <v>8.77366875931514</v>
      </c>
      <c r="AF215" s="32" t="n">
        <f aca="false">AD215*1000/C215/D215</f>
        <v>4.94105</v>
      </c>
    </row>
    <row r="216" customFormat="false" ht="25.5" hidden="false" customHeight="true" outlineLevel="0" collapsed="false">
      <c r="A216" s="42"/>
      <c r="B216" s="25" t="s">
        <v>43</v>
      </c>
      <c r="C216" s="26" t="n">
        <v>200</v>
      </c>
      <c r="D216" s="26" t="n">
        <v>1500</v>
      </c>
      <c r="E216" s="26" t="n">
        <v>1500</v>
      </c>
      <c r="F216" s="13" t="n">
        <v>1</v>
      </c>
      <c r="G216" s="20" t="n">
        <v>1</v>
      </c>
      <c r="H216" s="26" t="n">
        <v>1</v>
      </c>
      <c r="I216" s="26" t="n">
        <v>1</v>
      </c>
      <c r="J216" s="26" t="n">
        <v>1</v>
      </c>
      <c r="K216" s="20" t="n">
        <v>0.07</v>
      </c>
      <c r="L216" s="20" t="n">
        <v>70</v>
      </c>
      <c r="M216" s="20" t="n">
        <v>9.61625</v>
      </c>
      <c r="N216" s="20" t="n">
        <v>617</v>
      </c>
      <c r="O216" s="20" t="n">
        <v>0</v>
      </c>
      <c r="P216" s="20" t="n">
        <v>0.2532253</v>
      </c>
      <c r="Q216" s="20" t="n">
        <v>667</v>
      </c>
      <c r="R216" s="29" t="n">
        <v>0.361011835797289</v>
      </c>
      <c r="S216" s="20" t="n">
        <v>653</v>
      </c>
      <c r="U216" s="27" t="n">
        <v>23</v>
      </c>
      <c r="V216" s="28" t="n">
        <v>0.133333333333333</v>
      </c>
      <c r="W216" s="29" t="n">
        <f aca="false">D216/C216</f>
        <v>7.5</v>
      </c>
      <c r="X216" s="13"/>
      <c r="Y216" s="30" t="n">
        <v>3.36772469679471</v>
      </c>
      <c r="Z216" s="30" t="n">
        <v>2.41287535857143</v>
      </c>
      <c r="AA216" s="30" t="n">
        <v>0</v>
      </c>
      <c r="AB216" s="30" t="n">
        <v>84.760375</v>
      </c>
      <c r="AD216" s="31" t="n">
        <v>1876</v>
      </c>
      <c r="AE216" s="30" t="n">
        <f aca="false">AD216*1000/C216/D216*145.038/SQRT(145.038*L216)</f>
        <v>9.00126319431519</v>
      </c>
      <c r="AF216" s="32" t="n">
        <f aca="false">AD216*1000/C216/D216</f>
        <v>6.25333333333333</v>
      </c>
    </row>
    <row r="217" customFormat="false" ht="25.5" hidden="false" customHeight="true" outlineLevel="0" collapsed="false">
      <c r="A217" s="42"/>
      <c r="B217" s="25" t="s">
        <v>284</v>
      </c>
      <c r="C217" s="26" t="n">
        <v>200</v>
      </c>
      <c r="D217" s="26" t="n">
        <v>1500</v>
      </c>
      <c r="E217" s="26" t="n">
        <v>1500</v>
      </c>
      <c r="F217" s="13" t="n">
        <v>1</v>
      </c>
      <c r="G217" s="20" t="n">
        <v>1</v>
      </c>
      <c r="H217" s="26" t="n">
        <v>1</v>
      </c>
      <c r="I217" s="26" t="n">
        <v>1</v>
      </c>
      <c r="J217" s="26" t="n">
        <v>1</v>
      </c>
      <c r="K217" s="20" t="n">
        <v>0.0702898550724638</v>
      </c>
      <c r="L217" s="20" t="n">
        <v>46</v>
      </c>
      <c r="M217" s="20" t="n">
        <v>9.61625</v>
      </c>
      <c r="N217" s="20" t="n">
        <v>617</v>
      </c>
      <c r="O217" s="29" t="n">
        <v>2.30204818181818</v>
      </c>
      <c r="P217" s="20" t="n">
        <v>0.2532253</v>
      </c>
      <c r="Q217" s="20" t="n">
        <v>667</v>
      </c>
      <c r="R217" s="29" t="n">
        <v>0.361011835797289</v>
      </c>
      <c r="S217" s="20" t="n">
        <v>653</v>
      </c>
      <c r="U217" s="27" t="n">
        <v>23</v>
      </c>
      <c r="V217" s="28" t="n">
        <v>0.133333333333333</v>
      </c>
      <c r="W217" s="29" t="n">
        <f aca="false">D217/C217</f>
        <v>7.5</v>
      </c>
      <c r="X217" s="13"/>
      <c r="Y217" s="30" t="n">
        <v>5.12479845164412</v>
      </c>
      <c r="Z217" s="30" t="n">
        <v>3.67176685</v>
      </c>
      <c r="AA217" s="30" t="n">
        <v>33.3796986363636</v>
      </c>
      <c r="AB217" s="30" t="n">
        <v>128.983179347826</v>
      </c>
      <c r="AD217" s="31" t="n">
        <v>1905.5</v>
      </c>
      <c r="AE217" s="30" t="n">
        <f aca="false">AD217*1000/C217/D217*145.038/SQRT(145.038*L217)</f>
        <v>11.2784568872844</v>
      </c>
      <c r="AF217" s="32" t="n">
        <f aca="false">AD217*1000/C217/D217</f>
        <v>6.35166666666667</v>
      </c>
    </row>
    <row r="218" customFormat="false" ht="25.5" hidden="false" customHeight="true" outlineLevel="0" collapsed="false">
      <c r="A218" s="20" t="s">
        <v>285</v>
      </c>
      <c r="B218" s="34" t="s">
        <v>286</v>
      </c>
      <c r="C218" s="26" t="n">
        <v>100</v>
      </c>
      <c r="D218" s="26" t="n">
        <v>3000</v>
      </c>
      <c r="E218" s="26" t="n">
        <v>1500</v>
      </c>
      <c r="F218" s="20" t="n">
        <v>0.5</v>
      </c>
      <c r="G218" s="20" t="n">
        <v>0.5</v>
      </c>
      <c r="H218" s="26" t="n">
        <v>1</v>
      </c>
      <c r="I218" s="26" t="n">
        <v>1</v>
      </c>
      <c r="J218" s="26" t="n">
        <v>1</v>
      </c>
      <c r="K218" s="20" t="n">
        <v>0</v>
      </c>
      <c r="L218" s="20" t="n">
        <v>27.2</v>
      </c>
      <c r="M218" s="20" t="n">
        <v>2.2608</v>
      </c>
      <c r="N218" s="20" t="n">
        <v>315</v>
      </c>
      <c r="O218" s="20" t="n">
        <v>1.1304</v>
      </c>
      <c r="P218" s="20" t="n">
        <v>1.67466666666667</v>
      </c>
      <c r="Q218" s="20" t="n">
        <v>380</v>
      </c>
      <c r="R218" s="20" t="n">
        <v>0.807428571428571</v>
      </c>
      <c r="S218" s="20" t="n">
        <v>315</v>
      </c>
      <c r="U218" s="35"/>
      <c r="V218" s="28" t="n">
        <v>0.0666666666666667</v>
      </c>
      <c r="W218" s="29" t="n">
        <f aca="false">D218/C218</f>
        <v>30</v>
      </c>
      <c r="X218" s="35"/>
      <c r="Y218" s="30" t="n">
        <v>9.35073529411765</v>
      </c>
      <c r="Z218" s="30" t="n">
        <v>23.3960784313726</v>
      </c>
      <c r="AA218" s="30" t="n">
        <v>15.7923529411765</v>
      </c>
      <c r="AB218" s="30" t="n">
        <v>26.1820588235294</v>
      </c>
      <c r="AD218" s="28" t="n">
        <v>769.9564083055</v>
      </c>
      <c r="AE218" s="30" t="n">
        <f aca="false">AD218*1000/C218/D218*145.038/SQRT(145.038*L218)</f>
        <v>5.92654153505081</v>
      </c>
      <c r="AF218" s="32" t="n">
        <f aca="false">AD218*1000/C218/D218</f>
        <v>2.56652136101833</v>
      </c>
    </row>
    <row r="219" customFormat="false" ht="24" hidden="false" customHeight="true" outlineLevel="0" collapsed="false">
      <c r="A219" s="33" t="s">
        <v>287</v>
      </c>
      <c r="B219" s="34" t="s">
        <v>288</v>
      </c>
      <c r="C219" s="26" t="n">
        <v>60</v>
      </c>
      <c r="D219" s="26" t="n">
        <v>600</v>
      </c>
      <c r="E219" s="26" t="n">
        <v>1200</v>
      </c>
      <c r="F219" s="20" t="n">
        <v>2</v>
      </c>
      <c r="G219" s="20" t="n">
        <v>2</v>
      </c>
      <c r="H219" s="26" t="n">
        <v>1</v>
      </c>
      <c r="I219" s="26" t="n">
        <v>1</v>
      </c>
      <c r="J219" s="26" t="n">
        <v>1</v>
      </c>
      <c r="K219" s="20" t="n">
        <v>0</v>
      </c>
      <c r="L219" s="20" t="n">
        <v>31.8</v>
      </c>
      <c r="M219" s="20" t="n">
        <v>12.73</v>
      </c>
      <c r="N219" s="20" t="n">
        <v>533.1</v>
      </c>
      <c r="O219" s="20" t="n">
        <v>0.348888888888889</v>
      </c>
      <c r="P219" s="20" t="n">
        <v>0.348888888888889</v>
      </c>
      <c r="Q219" s="20" t="n">
        <v>404.6</v>
      </c>
      <c r="R219" s="29" t="n">
        <v>0.59</v>
      </c>
      <c r="S219" s="20" t="n">
        <v>551.6</v>
      </c>
      <c r="U219" s="35"/>
      <c r="V219" s="28" t="n">
        <v>0.1</v>
      </c>
      <c r="W219" s="29" t="n">
        <f aca="false">D219/C219</f>
        <v>10</v>
      </c>
      <c r="X219" s="35"/>
      <c r="Y219" s="30" t="n">
        <v>10.2340880503145</v>
      </c>
      <c r="Z219" s="30" t="n">
        <v>4.43900768693222</v>
      </c>
      <c r="AA219" s="30" t="n">
        <v>4.43900768693222</v>
      </c>
      <c r="AB219" s="30" t="n">
        <v>213.407641509434</v>
      </c>
      <c r="AD219" s="28" t="n">
        <v>113.73905</v>
      </c>
      <c r="AE219" s="30" t="n">
        <f aca="false">AD219*1000/C219/D219*145.038/SQRT(145.038*L219)</f>
        <v>6.74736861887097</v>
      </c>
      <c r="AF219" s="32" t="n">
        <f aca="false">AD219*1000/C219/D219</f>
        <v>3.15941805555556</v>
      </c>
    </row>
    <row r="220" customFormat="false" ht="24" hidden="false" customHeight="true" outlineLevel="0" collapsed="false">
      <c r="A220" s="33"/>
      <c r="B220" s="34" t="s">
        <v>289</v>
      </c>
      <c r="C220" s="26" t="n">
        <v>60</v>
      </c>
      <c r="D220" s="26" t="n">
        <v>600</v>
      </c>
      <c r="E220" s="26" t="n">
        <v>1200</v>
      </c>
      <c r="F220" s="20" t="n">
        <v>2</v>
      </c>
      <c r="G220" s="20" t="n">
        <v>2</v>
      </c>
      <c r="H220" s="26" t="n">
        <v>1</v>
      </c>
      <c r="I220" s="26" t="n">
        <v>2</v>
      </c>
      <c r="J220" s="26" t="n">
        <v>1</v>
      </c>
      <c r="K220" s="20" t="n">
        <v>0</v>
      </c>
      <c r="L220" s="20" t="n">
        <v>38.6</v>
      </c>
      <c r="M220" s="20" t="n">
        <v>6.85090909090909</v>
      </c>
      <c r="N220" s="20" t="n">
        <v>501.1</v>
      </c>
      <c r="O220" s="20" t="n">
        <v>0.348888888888889</v>
      </c>
      <c r="P220" s="20" t="n">
        <v>0.348888888888889</v>
      </c>
      <c r="Q220" s="20" t="n">
        <v>404.6</v>
      </c>
      <c r="R220" s="29" t="n">
        <v>0.5</v>
      </c>
      <c r="S220" s="20" t="n">
        <v>551.6</v>
      </c>
      <c r="U220" s="35"/>
      <c r="V220" s="28" t="n">
        <v>0.183333333333333</v>
      </c>
      <c r="W220" s="29" t="n">
        <f aca="false">D220/C220</f>
        <v>10</v>
      </c>
      <c r="X220" s="35"/>
      <c r="Y220" s="30" t="n">
        <v>7.14507772020725</v>
      </c>
      <c r="Z220" s="30" t="n">
        <v>3.65700633275763</v>
      </c>
      <c r="AA220" s="30" t="n">
        <v>3.65700633275763</v>
      </c>
      <c r="AB220" s="30" t="n">
        <v>88.9375788977862</v>
      </c>
      <c r="AD220" s="28" t="n">
        <v>110.6843</v>
      </c>
      <c r="AE220" s="30" t="n">
        <f aca="false">AD220*1000/C220/D220*145.038/SQRT(145.038*L220)</f>
        <v>5.95978744433693</v>
      </c>
      <c r="AF220" s="32" t="n">
        <f aca="false">AD220*1000/C220/D220</f>
        <v>3.07456388888889</v>
      </c>
    </row>
    <row r="221" customFormat="false" ht="24" hidden="false" customHeight="true" outlineLevel="0" collapsed="false">
      <c r="A221" s="33"/>
      <c r="B221" s="34" t="s">
        <v>290</v>
      </c>
      <c r="C221" s="26" t="n">
        <v>60</v>
      </c>
      <c r="D221" s="26" t="n">
        <v>600</v>
      </c>
      <c r="E221" s="26" t="n">
        <v>1200</v>
      </c>
      <c r="F221" s="20" t="n">
        <v>2</v>
      </c>
      <c r="G221" s="20" t="n">
        <v>2</v>
      </c>
      <c r="H221" s="26" t="n">
        <v>1</v>
      </c>
      <c r="I221" s="26" t="n">
        <v>1</v>
      </c>
      <c r="J221" s="26" t="n">
        <v>1</v>
      </c>
      <c r="K221" s="20" t="n">
        <v>0</v>
      </c>
      <c r="L221" s="20" t="n">
        <v>32</v>
      </c>
      <c r="M221" s="20" t="n">
        <v>12.73</v>
      </c>
      <c r="N221" s="20" t="n">
        <v>533.1</v>
      </c>
      <c r="O221" s="20" t="n">
        <v>0.785</v>
      </c>
      <c r="P221" s="20" t="n">
        <v>0.3925</v>
      </c>
      <c r="Q221" s="20" t="n">
        <v>551.6</v>
      </c>
      <c r="R221" s="29" t="n">
        <v>0.59</v>
      </c>
      <c r="S221" s="20" t="n">
        <v>551.6</v>
      </c>
      <c r="U221" s="35"/>
      <c r="V221" s="28" t="n">
        <v>0.1</v>
      </c>
      <c r="W221" s="29" t="n">
        <f aca="false">D221/C221</f>
        <v>10</v>
      </c>
      <c r="X221" s="35"/>
      <c r="Y221" s="30" t="n">
        <v>10.170125</v>
      </c>
      <c r="Z221" s="30" t="n">
        <v>6.76571875</v>
      </c>
      <c r="AA221" s="30" t="n">
        <v>13.5314375</v>
      </c>
      <c r="AB221" s="30" t="n">
        <v>212.07384375</v>
      </c>
      <c r="AD221" s="28" t="n">
        <v>125.856682552255</v>
      </c>
      <c r="AE221" s="30" t="n">
        <f aca="false">AD221*1000/C221/D221*145.038/SQRT(145.038*L221)</f>
        <v>7.44285728040222</v>
      </c>
      <c r="AF221" s="32" t="n">
        <f aca="false">AD221*1000/C221/D221</f>
        <v>3.49601895978486</v>
      </c>
    </row>
    <row r="222" customFormat="false" ht="24" hidden="false" customHeight="true" outlineLevel="0" collapsed="false">
      <c r="A222" s="33"/>
      <c r="B222" s="34" t="s">
        <v>291</v>
      </c>
      <c r="C222" s="26" t="n">
        <v>60</v>
      </c>
      <c r="D222" s="26" t="n">
        <v>600</v>
      </c>
      <c r="E222" s="26" t="n">
        <v>1200</v>
      </c>
      <c r="F222" s="20" t="n">
        <v>2</v>
      </c>
      <c r="G222" s="20" t="n">
        <v>2</v>
      </c>
      <c r="H222" s="26" t="n">
        <v>1</v>
      </c>
      <c r="I222" s="26" t="n">
        <v>2</v>
      </c>
      <c r="J222" s="26" t="n">
        <v>1</v>
      </c>
      <c r="K222" s="20" t="n">
        <v>0</v>
      </c>
      <c r="L222" s="20" t="n">
        <v>45.8</v>
      </c>
      <c r="M222" s="20" t="n">
        <v>7.13636363636364</v>
      </c>
      <c r="N222" s="20" t="n">
        <v>533.1</v>
      </c>
      <c r="O222" s="20" t="n">
        <v>0.418666666666667</v>
      </c>
      <c r="P222" s="20" t="n">
        <v>0.418666666666667</v>
      </c>
      <c r="Q222" s="20" t="n">
        <v>404.6</v>
      </c>
      <c r="R222" s="29" t="n">
        <v>0.5</v>
      </c>
      <c r="S222" s="20" t="n">
        <v>551.6</v>
      </c>
      <c r="U222" s="35"/>
      <c r="V222" s="28" t="n">
        <v>0.183333333333333</v>
      </c>
      <c r="W222" s="29" t="n">
        <f aca="false">D222/C222</f>
        <v>10</v>
      </c>
      <c r="X222" s="35"/>
      <c r="Y222" s="30" t="n">
        <v>6.02183406113537</v>
      </c>
      <c r="Z222" s="30" t="n">
        <v>3.6985269286754</v>
      </c>
      <c r="AA222" s="30" t="n">
        <v>3.6985269286754</v>
      </c>
      <c r="AB222" s="30" t="n">
        <v>83.0654029376737</v>
      </c>
      <c r="AD222" s="28" t="n">
        <v>94.807124916384</v>
      </c>
      <c r="AE222" s="30" t="n">
        <f aca="false">AD222*1000/C222/D222*145.038/SQRT(145.038*L222)</f>
        <v>4.68647859721603</v>
      </c>
      <c r="AF222" s="32" t="n">
        <f aca="false">AD222*1000/C222/D222</f>
        <v>2.63353124767733</v>
      </c>
    </row>
    <row r="223" customFormat="false" ht="24" hidden="false" customHeight="true" outlineLevel="0" collapsed="false">
      <c r="A223" s="33"/>
      <c r="B223" s="34" t="s">
        <v>292</v>
      </c>
      <c r="C223" s="26" t="n">
        <v>60</v>
      </c>
      <c r="D223" s="26" t="n">
        <v>600</v>
      </c>
      <c r="E223" s="26" t="n">
        <v>1200</v>
      </c>
      <c r="F223" s="20" t="n">
        <v>2</v>
      </c>
      <c r="G223" s="20" t="n">
        <v>2</v>
      </c>
      <c r="H223" s="26" t="n">
        <v>1</v>
      </c>
      <c r="I223" s="26" t="n">
        <v>2</v>
      </c>
      <c r="J223" s="26" t="n">
        <v>1</v>
      </c>
      <c r="K223" s="20" t="n">
        <v>0</v>
      </c>
      <c r="L223" s="20" t="n">
        <v>38.9</v>
      </c>
      <c r="M223" s="20" t="n">
        <v>7.13636363636364</v>
      </c>
      <c r="N223" s="20" t="n">
        <v>533.1</v>
      </c>
      <c r="O223" s="20" t="n">
        <v>0.598095238095238</v>
      </c>
      <c r="P223" s="20" t="n">
        <v>0.598095238095238</v>
      </c>
      <c r="Q223" s="20" t="n">
        <v>404.6</v>
      </c>
      <c r="R223" s="29" t="n">
        <v>0.5</v>
      </c>
      <c r="S223" s="20" t="n">
        <v>551.6</v>
      </c>
      <c r="U223" s="35"/>
      <c r="V223" s="28" t="n">
        <v>0.183333333333333</v>
      </c>
      <c r="W223" s="29" t="n">
        <f aca="false">D223/C223</f>
        <v>10</v>
      </c>
      <c r="X223" s="35"/>
      <c r="Y223" s="30" t="n">
        <v>7.08997429305913</v>
      </c>
      <c r="Z223" s="30" t="n">
        <v>6.22080548414739</v>
      </c>
      <c r="AA223" s="30" t="n">
        <v>6.22080548414739</v>
      </c>
      <c r="AB223" s="30" t="n">
        <v>97.7993690114513</v>
      </c>
      <c r="AD223" s="28" t="n">
        <v>97.636761874221</v>
      </c>
      <c r="AE223" s="30" t="n">
        <f aca="false">AD223*1000/C223/D223*145.038/SQRT(145.038*L223)</f>
        <v>5.23693239343054</v>
      </c>
      <c r="AF223" s="32" t="n">
        <f aca="false">AD223*1000/C223/D223</f>
        <v>2.71213227428392</v>
      </c>
    </row>
    <row r="224" customFormat="false" ht="25.5" hidden="false" customHeight="true" outlineLevel="0" collapsed="false">
      <c r="A224" s="13" t="s">
        <v>293</v>
      </c>
      <c r="B224" s="49" t="s">
        <v>222</v>
      </c>
      <c r="C224" s="26" t="n">
        <v>100</v>
      </c>
      <c r="D224" s="26" t="n">
        <v>700</v>
      </c>
      <c r="E224" s="26" t="n">
        <v>1400</v>
      </c>
      <c r="F224" s="20" t="n">
        <v>2</v>
      </c>
      <c r="G224" s="20" t="n">
        <v>2</v>
      </c>
      <c r="H224" s="26" t="n">
        <v>1</v>
      </c>
      <c r="I224" s="26" t="n">
        <v>2</v>
      </c>
      <c r="J224" s="26" t="n">
        <v>1</v>
      </c>
      <c r="K224" s="13" t="n">
        <v>0.189999610955493</v>
      </c>
      <c r="L224" s="20" t="n">
        <v>44.064</v>
      </c>
      <c r="M224" s="20" t="n">
        <v>4.00344550545956</v>
      </c>
      <c r="N224" s="13" t="n">
        <v>409</v>
      </c>
      <c r="O224" s="20" t="n">
        <v>0.376991118430775</v>
      </c>
      <c r="P224" s="20" t="n">
        <v>0.2826</v>
      </c>
      <c r="Q224" s="13" t="n">
        <v>270</v>
      </c>
      <c r="R224" s="20" t="n">
        <v>0.477203947380728</v>
      </c>
      <c r="S224" s="13" t="n">
        <v>270</v>
      </c>
      <c r="U224" s="35"/>
      <c r="V224" s="28" t="n">
        <v>0.161428571428571</v>
      </c>
      <c r="W224" s="29" t="n">
        <f aca="false">D224/C224</f>
        <v>7</v>
      </c>
      <c r="X224" s="35"/>
      <c r="Y224" s="30" t="n">
        <v>2.92404379522505</v>
      </c>
      <c r="Z224" s="30" t="n">
        <v>1.73161764705882</v>
      </c>
      <c r="AA224" s="30" t="n">
        <v>2.30999459822779</v>
      </c>
      <c r="AB224" s="30" t="n">
        <v>37.1597951101344</v>
      </c>
      <c r="AD224" s="28" t="n">
        <v>213.45</v>
      </c>
      <c r="AE224" s="30" t="n">
        <f aca="false">AD224*1000/C224/D224*145.038/SQRT(145.038*L224)</f>
        <v>5.53218966568608</v>
      </c>
      <c r="AF224" s="32" t="n">
        <f aca="false">AD224*1000/C224/D224</f>
        <v>3.04928571428571</v>
      </c>
    </row>
    <row r="225" customFormat="false" ht="25.5" hidden="false" customHeight="true" outlineLevel="0" collapsed="false">
      <c r="A225" s="33" t="s">
        <v>294</v>
      </c>
      <c r="B225" s="25" t="s">
        <v>295</v>
      </c>
      <c r="C225" s="26" t="n">
        <v>100</v>
      </c>
      <c r="D225" s="26" t="n">
        <v>1200</v>
      </c>
      <c r="E225" s="26" t="n">
        <v>1200</v>
      </c>
      <c r="F225" s="20" t="n">
        <v>1</v>
      </c>
      <c r="G225" s="20" t="n">
        <v>1</v>
      </c>
      <c r="H225" s="26" t="n">
        <v>1</v>
      </c>
      <c r="I225" s="26" t="n">
        <v>2</v>
      </c>
      <c r="J225" s="26" t="n">
        <v>1</v>
      </c>
      <c r="K225" s="20" t="n">
        <v>0</v>
      </c>
      <c r="L225" s="20" t="n">
        <v>22.2</v>
      </c>
      <c r="M225" s="20" t="n">
        <v>1.67466666666667</v>
      </c>
      <c r="N225" s="20" t="n">
        <v>585</v>
      </c>
      <c r="O225" s="20" t="n">
        <v>1.02573333333333</v>
      </c>
      <c r="P225" s="20" t="n">
        <v>0.556</v>
      </c>
      <c r="Q225" s="20" t="n">
        <v>610</v>
      </c>
      <c r="R225" s="20" t="n">
        <v>0.556</v>
      </c>
      <c r="S225" s="20" t="n">
        <v>610</v>
      </c>
      <c r="U225" s="35"/>
      <c r="V225" s="28" t="n">
        <v>0.2</v>
      </c>
      <c r="W225" s="29" t="n">
        <f aca="false">D225/C225</f>
        <v>12</v>
      </c>
      <c r="X225" s="35"/>
      <c r="Y225" s="30" t="n">
        <v>15.2774774774775</v>
      </c>
      <c r="Z225" s="30" t="n">
        <v>15.2774774774775</v>
      </c>
      <c r="AA225" s="30" t="n">
        <v>28.1845645645646</v>
      </c>
      <c r="AB225" s="30" t="n">
        <v>44.1297297297297</v>
      </c>
      <c r="AD225" s="28" t="n">
        <v>260.405</v>
      </c>
      <c r="AE225" s="30" t="n">
        <f aca="false">AD225*1000/C225/D225*145.038/SQRT(145.038*L225)</f>
        <v>5.54667202452098</v>
      </c>
      <c r="AF225" s="32" t="n">
        <f aca="false">AD225*1000/C225/D225</f>
        <v>2.17004166666667</v>
      </c>
    </row>
    <row r="226" customFormat="false" ht="25.5" hidden="false" customHeight="true" outlineLevel="0" collapsed="false">
      <c r="A226" s="33"/>
      <c r="B226" s="25" t="s">
        <v>296</v>
      </c>
      <c r="C226" s="26" t="n">
        <v>100</v>
      </c>
      <c r="D226" s="26" t="n">
        <v>1200</v>
      </c>
      <c r="E226" s="26" t="n">
        <v>1200</v>
      </c>
      <c r="F226" s="20" t="n">
        <v>1</v>
      </c>
      <c r="G226" s="20" t="n">
        <v>1</v>
      </c>
      <c r="H226" s="26" t="n">
        <v>1</v>
      </c>
      <c r="I226" s="26" t="n">
        <v>2</v>
      </c>
      <c r="J226" s="26" t="n">
        <v>1</v>
      </c>
      <c r="K226" s="20" t="n">
        <v>0</v>
      </c>
      <c r="L226" s="20" t="n">
        <v>21.6</v>
      </c>
      <c r="M226" s="20" t="n">
        <v>1.256</v>
      </c>
      <c r="N226" s="20" t="n">
        <v>585</v>
      </c>
      <c r="O226" s="20" t="n">
        <v>1.02573333333333</v>
      </c>
      <c r="P226" s="20" t="n">
        <v>0.276948</v>
      </c>
      <c r="Q226" s="20" t="n">
        <v>610</v>
      </c>
      <c r="R226" s="20" t="n">
        <v>0.276948</v>
      </c>
      <c r="S226" s="20" t="n">
        <v>610</v>
      </c>
      <c r="U226" s="35"/>
      <c r="V226" s="28" t="n">
        <v>0.2</v>
      </c>
      <c r="W226" s="29" t="n">
        <f aca="false">D226/C226</f>
        <v>12</v>
      </c>
      <c r="X226" s="35"/>
      <c r="Y226" s="30" t="n">
        <v>7.82121666666667</v>
      </c>
      <c r="Z226" s="30" t="n">
        <v>7.82121666666667</v>
      </c>
      <c r="AA226" s="30" t="n">
        <v>28.9674691358025</v>
      </c>
      <c r="AB226" s="30" t="n">
        <v>34.0166666666667</v>
      </c>
      <c r="AD226" s="28" t="n">
        <v>185.9133302</v>
      </c>
      <c r="AE226" s="30" t="n">
        <f aca="false">AD226*1000/C226/D226*145.038/SQRT(145.038*L226)</f>
        <v>4.01460951788336</v>
      </c>
      <c r="AF226" s="32" t="n">
        <f aca="false">AD226*1000/C226/D226</f>
        <v>1.54927775166667</v>
      </c>
    </row>
    <row r="227" customFormat="false" ht="25.5" hidden="false" customHeight="true" outlineLevel="0" collapsed="false">
      <c r="A227" s="33"/>
      <c r="B227" s="25" t="s">
        <v>297</v>
      </c>
      <c r="C227" s="26" t="n">
        <v>100</v>
      </c>
      <c r="D227" s="26" t="n">
        <v>1200</v>
      </c>
      <c r="E227" s="26" t="n">
        <v>1200</v>
      </c>
      <c r="F227" s="20" t="n">
        <v>1</v>
      </c>
      <c r="G227" s="20" t="n">
        <v>1</v>
      </c>
      <c r="H227" s="26" t="n">
        <v>1</v>
      </c>
      <c r="I227" s="26" t="n">
        <v>2</v>
      </c>
      <c r="J227" s="26" t="n">
        <v>1</v>
      </c>
      <c r="K227" s="20" t="n">
        <v>0.07</v>
      </c>
      <c r="L227" s="20" t="n">
        <v>23.9</v>
      </c>
      <c r="M227" s="20" t="n">
        <v>1.256</v>
      </c>
      <c r="N227" s="20" t="n">
        <v>585</v>
      </c>
      <c r="O227" s="20" t="n">
        <v>1.02573333333333</v>
      </c>
      <c r="P227" s="20" t="n">
        <v>0.276948</v>
      </c>
      <c r="Q227" s="20" t="n">
        <v>610</v>
      </c>
      <c r="R227" s="20" t="n">
        <v>0.276948</v>
      </c>
      <c r="S227" s="20" t="n">
        <v>610</v>
      </c>
      <c r="U227" s="35"/>
      <c r="V227" s="28" t="n">
        <v>0.2</v>
      </c>
      <c r="W227" s="29" t="n">
        <f aca="false">D227/C227</f>
        <v>12</v>
      </c>
      <c r="X227" s="35"/>
      <c r="Y227" s="30" t="n">
        <v>7.06854728033473</v>
      </c>
      <c r="Z227" s="30" t="n">
        <v>7.06854728033473</v>
      </c>
      <c r="AA227" s="30" t="n">
        <v>26.1798047419805</v>
      </c>
      <c r="AB227" s="30" t="n">
        <v>30.7430962343096</v>
      </c>
      <c r="AD227" s="28" t="n">
        <v>254.09933611</v>
      </c>
      <c r="AE227" s="30" t="n">
        <f aca="false">AD227*1000/C227/D227*145.038/SQRT(145.038*L227)</f>
        <v>5.21632011189329</v>
      </c>
      <c r="AF227" s="32" t="n">
        <f aca="false">AD227*1000/C227/D227</f>
        <v>2.11749446758333</v>
      </c>
    </row>
    <row r="228" customFormat="false" ht="25.5" hidden="false" customHeight="true" outlineLevel="0" collapsed="false">
      <c r="A228" s="40" t="s">
        <v>298</v>
      </c>
      <c r="B228" s="25" t="s">
        <v>299</v>
      </c>
      <c r="C228" s="26" t="n">
        <v>150</v>
      </c>
      <c r="D228" s="26" t="n">
        <v>2150</v>
      </c>
      <c r="E228" s="26" t="n">
        <v>1400</v>
      </c>
      <c r="F228" s="20" t="n">
        <v>0.651162790697675</v>
      </c>
      <c r="G228" s="20" t="n">
        <v>0.651162790697675</v>
      </c>
      <c r="H228" s="26" t="n">
        <v>3</v>
      </c>
      <c r="I228" s="26" t="n">
        <v>1</v>
      </c>
      <c r="J228" s="26" t="n">
        <v>1</v>
      </c>
      <c r="K228" s="20" t="n">
        <v>0.0617283950617284</v>
      </c>
      <c r="L228" s="20" t="n">
        <v>32.4</v>
      </c>
      <c r="M228" s="20" t="n">
        <v>1.2</v>
      </c>
      <c r="N228" s="13" t="n">
        <v>296</v>
      </c>
      <c r="O228" s="20" t="n">
        <v>0.19</v>
      </c>
      <c r="P228" s="20" t="n">
        <v>1.2</v>
      </c>
      <c r="Q228" s="20" t="n">
        <v>296</v>
      </c>
      <c r="R228" s="20" t="n">
        <v>1.2</v>
      </c>
      <c r="S228" s="20" t="n">
        <v>296</v>
      </c>
      <c r="U228" s="13" t="s">
        <v>300</v>
      </c>
      <c r="V228" s="28" t="n">
        <v>0.25974025974026</v>
      </c>
      <c r="W228" s="29" t="n">
        <f aca="false">D228/C228</f>
        <v>14.3333333333333</v>
      </c>
      <c r="X228" s="35"/>
      <c r="Y228" s="30" t="n">
        <v>10.962962962963</v>
      </c>
      <c r="Z228" s="30" t="n">
        <v>10.962962962963</v>
      </c>
      <c r="AA228" s="30" t="n">
        <v>1.7358024691358</v>
      </c>
      <c r="AB228" s="30" t="n">
        <v>10.962962962963</v>
      </c>
      <c r="AD228" s="28" t="n">
        <v>1748.25</v>
      </c>
      <c r="AE228" s="30" t="n">
        <f aca="false">AD228*1000/C228/D228*145.038/SQRT(145.038*L228)</f>
        <v>11.4694400062186</v>
      </c>
      <c r="AF228" s="32" t="n">
        <f aca="false">AD228*1000/C228/D228</f>
        <v>5.42093023255814</v>
      </c>
    </row>
    <row r="229" customFormat="false" ht="25.5" hidden="false" customHeight="true" outlineLevel="0" collapsed="false">
      <c r="A229" s="40"/>
      <c r="B229" s="25" t="s">
        <v>301</v>
      </c>
      <c r="C229" s="26" t="n">
        <v>150</v>
      </c>
      <c r="D229" s="26" t="n">
        <v>2150</v>
      </c>
      <c r="E229" s="26" t="n">
        <v>1400</v>
      </c>
      <c r="F229" s="20" t="n">
        <v>0.651162790697675</v>
      </c>
      <c r="G229" s="20" t="n">
        <v>0.651162790697675</v>
      </c>
      <c r="H229" s="26" t="n">
        <v>3</v>
      </c>
      <c r="I229" s="26" t="n">
        <v>1</v>
      </c>
      <c r="J229" s="26" t="n">
        <v>1</v>
      </c>
      <c r="K229" s="20" t="n">
        <v>0.0617283950617284</v>
      </c>
      <c r="L229" s="20" t="n">
        <v>32.4</v>
      </c>
      <c r="M229" s="20" t="n">
        <v>0.9</v>
      </c>
      <c r="N229" s="13" t="n">
        <v>422</v>
      </c>
      <c r="O229" s="20" t="n">
        <v>0.14</v>
      </c>
      <c r="P229" s="13" t="n">
        <v>0.9</v>
      </c>
      <c r="Q229" s="20" t="n">
        <v>422</v>
      </c>
      <c r="R229" s="20" t="n">
        <v>0.9</v>
      </c>
      <c r="S229" s="20" t="n">
        <v>422</v>
      </c>
      <c r="U229" s="13"/>
      <c r="V229" s="28" t="n">
        <v>0.25974025974026</v>
      </c>
      <c r="W229" s="29" t="n">
        <f aca="false">D229/C229</f>
        <v>14.3333333333333</v>
      </c>
      <c r="X229" s="35"/>
      <c r="Y229" s="30" t="n">
        <v>11.7222222222222</v>
      </c>
      <c r="Z229" s="30" t="n">
        <v>11.7222222222222</v>
      </c>
      <c r="AA229" s="30" t="n">
        <v>1.82345679012346</v>
      </c>
      <c r="AB229" s="30" t="n">
        <v>11.7222222222222</v>
      </c>
      <c r="AD229" s="28" t="n">
        <v>1887</v>
      </c>
      <c r="AE229" s="30" t="n">
        <f aca="false">AD229*1000/C229/D229*145.038/SQRT(145.038*L229)</f>
        <v>12.3797130225851</v>
      </c>
      <c r="AF229" s="32" t="n">
        <f aca="false">AD229*1000/C229/D229</f>
        <v>5.85116279069767</v>
      </c>
    </row>
    <row r="230" customFormat="false" ht="25.5" hidden="false" customHeight="true" outlineLevel="0" collapsed="false">
      <c r="A230" s="40"/>
      <c r="B230" s="25" t="s">
        <v>302</v>
      </c>
      <c r="C230" s="26" t="n">
        <v>150</v>
      </c>
      <c r="D230" s="26" t="n">
        <v>2150</v>
      </c>
      <c r="E230" s="26" t="n">
        <v>1400</v>
      </c>
      <c r="F230" s="20" t="n">
        <v>0.651162790697675</v>
      </c>
      <c r="G230" s="20" t="n">
        <v>0.651162790697675</v>
      </c>
      <c r="H230" s="26" t="n">
        <v>3</v>
      </c>
      <c r="I230" s="26" t="n">
        <v>1</v>
      </c>
      <c r="J230" s="26" t="n">
        <v>1</v>
      </c>
      <c r="K230" s="20" t="n">
        <v>0.0617283950617284</v>
      </c>
      <c r="L230" s="20" t="n">
        <v>32.4</v>
      </c>
      <c r="M230" s="20" t="n">
        <v>0.72</v>
      </c>
      <c r="N230" s="13" t="n">
        <v>528</v>
      </c>
      <c r="O230" s="20" t="n">
        <v>0.11</v>
      </c>
      <c r="P230" s="13" t="n">
        <v>0.72</v>
      </c>
      <c r="Q230" s="20" t="n">
        <v>528</v>
      </c>
      <c r="R230" s="20" t="n">
        <v>0.72</v>
      </c>
      <c r="S230" s="20" t="n">
        <v>528</v>
      </c>
      <c r="U230" s="13" t="s">
        <v>300</v>
      </c>
      <c r="V230" s="28" t="n">
        <v>0.25974025974026</v>
      </c>
      <c r="W230" s="29" t="n">
        <f aca="false">D230/C230</f>
        <v>14.3333333333333</v>
      </c>
      <c r="X230" s="35"/>
      <c r="Y230" s="30" t="n">
        <v>11.7333333333333</v>
      </c>
      <c r="Z230" s="30" t="n">
        <v>11.7333333333333</v>
      </c>
      <c r="AA230" s="30" t="n">
        <v>1.79259259259259</v>
      </c>
      <c r="AB230" s="30" t="n">
        <v>11.7333333333333</v>
      </c>
      <c r="AD230" s="28" t="n">
        <v>1831.5</v>
      </c>
      <c r="AE230" s="30" t="n">
        <f aca="false">AD230*1000/C230/D230*145.038/SQRT(145.038*L230)</f>
        <v>12.0156038160385</v>
      </c>
      <c r="AF230" s="32" t="n">
        <f aca="false">AD230*1000/C230/D230</f>
        <v>5.67906976744186</v>
      </c>
    </row>
    <row r="231" customFormat="false" ht="25.5" hidden="false" customHeight="true" outlineLevel="0" collapsed="false">
      <c r="A231" s="24" t="s">
        <v>303</v>
      </c>
      <c r="B231" s="25" t="s">
        <v>304</v>
      </c>
      <c r="C231" s="26" t="n">
        <v>130</v>
      </c>
      <c r="D231" s="26" t="n">
        <v>1500</v>
      </c>
      <c r="E231" s="26" t="n">
        <v>2250</v>
      </c>
      <c r="F231" s="13" t="n">
        <v>2.25</v>
      </c>
      <c r="G231" s="20" t="n">
        <v>1.5</v>
      </c>
      <c r="H231" s="26" t="n">
        <v>2</v>
      </c>
      <c r="I231" s="26" t="n">
        <v>1</v>
      </c>
      <c r="J231" s="26" t="n">
        <v>2</v>
      </c>
      <c r="K231" s="13" t="n">
        <v>0.0528434963729081</v>
      </c>
      <c r="L231" s="20" t="n">
        <v>27.3</v>
      </c>
      <c r="M231" s="20" t="n">
        <v>2.572288</v>
      </c>
      <c r="N231" s="20" t="n">
        <v>574.9</v>
      </c>
      <c r="O231" s="20" t="n">
        <v>1.0472</v>
      </c>
      <c r="P231" s="20" t="n">
        <v>0.805128205128205</v>
      </c>
      <c r="Q231" s="20" t="n">
        <v>451.3</v>
      </c>
      <c r="R231" s="20" t="n">
        <v>0.805128205128205</v>
      </c>
      <c r="S231" s="20" t="n">
        <v>451.3</v>
      </c>
      <c r="U231" s="27" t="s">
        <v>305</v>
      </c>
      <c r="V231" s="28" t="n">
        <v>0.245098039215686</v>
      </c>
      <c r="W231" s="29" t="n">
        <f aca="false">D231/C231</f>
        <v>11.5384615384615</v>
      </c>
      <c r="X231" s="13"/>
      <c r="Y231" s="30" t="n">
        <v>13.3096834789143</v>
      </c>
      <c r="Z231" s="30" t="n">
        <v>13.3096834789143</v>
      </c>
      <c r="AA231" s="30" t="n">
        <v>17.3114051282051</v>
      </c>
      <c r="AB231" s="30" t="n">
        <v>54.1688048058608</v>
      </c>
      <c r="AD231" s="39" t="n">
        <v>870.297029702969</v>
      </c>
      <c r="AE231" s="30" t="n">
        <f aca="false">AD231*1000/C231/D231*145.038/SQRT(145.038*L231)</f>
        <v>10.287088299357</v>
      </c>
      <c r="AF231" s="32" t="n">
        <f aca="false">AD231*1000/C231/D231</f>
        <v>4.46306169078446</v>
      </c>
    </row>
    <row r="232" customFormat="false" ht="25.5" hidden="false" customHeight="true" outlineLevel="0" collapsed="false">
      <c r="A232" s="20" t="s">
        <v>306</v>
      </c>
      <c r="B232" s="34" t="s">
        <v>307</v>
      </c>
      <c r="C232" s="26" t="n">
        <v>102</v>
      </c>
      <c r="D232" s="26" t="n">
        <v>1900</v>
      </c>
      <c r="E232" s="26" t="n">
        <v>5500</v>
      </c>
      <c r="F232" s="20" t="n">
        <v>2.89</v>
      </c>
      <c r="G232" s="20" t="n">
        <v>2.89473684210526</v>
      </c>
      <c r="H232" s="26" t="n">
        <v>1</v>
      </c>
      <c r="I232" s="26" t="n">
        <v>2</v>
      </c>
      <c r="J232" s="26" t="n">
        <v>1</v>
      </c>
      <c r="K232" s="20" t="n">
        <v>0</v>
      </c>
      <c r="L232" s="20" t="n">
        <v>23.27</v>
      </c>
      <c r="M232" s="20" t="n">
        <v>5.45626589097177</v>
      </c>
      <c r="N232" s="20" t="n">
        <v>476.44</v>
      </c>
      <c r="O232" s="20" t="n">
        <v>0.407439446366782</v>
      </c>
      <c r="P232" s="20" t="n">
        <v>0.363594256600278</v>
      </c>
      <c r="Q232" s="20" t="n">
        <v>473</v>
      </c>
      <c r="R232" s="20" t="n">
        <v>0.242396171066852</v>
      </c>
      <c r="S232" s="20" t="n">
        <v>473</v>
      </c>
      <c r="U232" s="35"/>
      <c r="V232" s="28" t="n">
        <v>0.143684210526316</v>
      </c>
      <c r="W232" s="29" t="n">
        <f aca="false">D232/C232</f>
        <v>18.6274509803922</v>
      </c>
      <c r="X232" s="35"/>
      <c r="Y232" s="30" t="n">
        <v>4.92709019830773</v>
      </c>
      <c r="Z232" s="30" t="n">
        <v>7.3906352974616</v>
      </c>
      <c r="AA232" s="30" t="n">
        <v>8.54747376591629</v>
      </c>
      <c r="AB232" s="30" t="n">
        <v>111.713937305311</v>
      </c>
      <c r="AD232" s="28" t="n">
        <v>334.112115732369</v>
      </c>
      <c r="AE232" s="30" t="n">
        <f aca="false">AD232*1000/C232/D232*145.038/SQRT(145.038*L232)</f>
        <v>4.30408819007158</v>
      </c>
      <c r="AF232" s="32" t="n">
        <f aca="false">AD232*1000/C232/D232</f>
        <v>1.72400472514122</v>
      </c>
    </row>
    <row r="233" customFormat="false" ht="25.5" hidden="false" customHeight="true" outlineLevel="0" collapsed="false">
      <c r="A233" s="40" t="s">
        <v>308</v>
      </c>
      <c r="B233" s="25" t="s">
        <v>309</v>
      </c>
      <c r="C233" s="26" t="n">
        <v>100</v>
      </c>
      <c r="D233" s="26" t="n">
        <v>1500</v>
      </c>
      <c r="E233" s="26" t="n">
        <v>2150</v>
      </c>
      <c r="F233" s="13" t="n">
        <v>1.43</v>
      </c>
      <c r="G233" s="20" t="n">
        <v>1.43333333333333</v>
      </c>
      <c r="H233" s="26" t="n">
        <v>2</v>
      </c>
      <c r="I233" s="26" t="n">
        <v>1</v>
      </c>
      <c r="J233" s="26" t="n">
        <v>1</v>
      </c>
      <c r="K233" s="26" t="n">
        <v>0</v>
      </c>
      <c r="L233" s="20" t="n">
        <v>36.6</v>
      </c>
      <c r="M233" s="20" t="n">
        <v>2.29</v>
      </c>
      <c r="N233" s="20" t="n">
        <v>473</v>
      </c>
      <c r="O233" s="20" t="n">
        <v>0.22608</v>
      </c>
      <c r="P233" s="20" t="n">
        <v>0.523333333333333</v>
      </c>
      <c r="Q233" s="20" t="n">
        <v>450</v>
      </c>
      <c r="R233" s="20" t="n">
        <v>0.3925</v>
      </c>
      <c r="S233" s="20" t="n">
        <v>450</v>
      </c>
      <c r="U233" s="35"/>
      <c r="V233" s="28" t="n">
        <v>0.277777777777778</v>
      </c>
      <c r="W233" s="29" t="n">
        <f aca="false">D233/C233</f>
        <v>15</v>
      </c>
      <c r="X233" s="35"/>
      <c r="Y233" s="30" t="n">
        <v>4.82581967213115</v>
      </c>
      <c r="Z233" s="30" t="n">
        <v>6.4344262295082</v>
      </c>
      <c r="AA233" s="30" t="n">
        <v>2.74260983606557</v>
      </c>
      <c r="AB233" s="30" t="n">
        <v>29.5948087431694</v>
      </c>
      <c r="AD233" s="20" t="n">
        <v>462.8</v>
      </c>
      <c r="AE233" s="30" t="n">
        <f aca="false">AD233*1000/C233/D233*145.038/SQRT(145.038*L233)</f>
        <v>6.1418958787933</v>
      </c>
      <c r="AF233" s="32" t="n">
        <f aca="false">AD233*1000/C233/D233</f>
        <v>3.08533333333333</v>
      </c>
    </row>
    <row r="234" customFormat="false" ht="25.5" hidden="false" customHeight="true" outlineLevel="0" collapsed="false">
      <c r="A234" s="40"/>
      <c r="B234" s="25" t="s">
        <v>310</v>
      </c>
      <c r="C234" s="26" t="n">
        <v>100</v>
      </c>
      <c r="D234" s="26" t="n">
        <v>1500</v>
      </c>
      <c r="E234" s="26" t="n">
        <v>2150</v>
      </c>
      <c r="F234" s="13" t="n">
        <v>1.43</v>
      </c>
      <c r="G234" s="20" t="n">
        <v>1.43333333333333</v>
      </c>
      <c r="H234" s="26" t="n">
        <v>2</v>
      </c>
      <c r="I234" s="26" t="n">
        <v>1</v>
      </c>
      <c r="J234" s="26" t="n">
        <v>1</v>
      </c>
      <c r="K234" s="26" t="n">
        <v>0</v>
      </c>
      <c r="L234" s="20" t="n">
        <v>35.8</v>
      </c>
      <c r="M234" s="20" t="n">
        <v>2.29</v>
      </c>
      <c r="N234" s="20" t="n">
        <v>473</v>
      </c>
      <c r="O234" s="20" t="n">
        <v>0.22608</v>
      </c>
      <c r="P234" s="20" t="n">
        <v>0.785</v>
      </c>
      <c r="Q234" s="20" t="n">
        <v>450</v>
      </c>
      <c r="R234" s="20" t="n">
        <v>0.523333333333333</v>
      </c>
      <c r="S234" s="20" t="n">
        <v>450</v>
      </c>
      <c r="U234" s="35"/>
      <c r="V234" s="28" t="n">
        <v>0.277777777777778</v>
      </c>
      <c r="W234" s="29" t="n">
        <f aca="false">D234/C234</f>
        <v>15</v>
      </c>
      <c r="X234" s="35"/>
      <c r="Y234" s="30" t="n">
        <v>6.57821229050279</v>
      </c>
      <c r="Z234" s="30" t="n">
        <v>9.86731843575419</v>
      </c>
      <c r="AA234" s="30" t="n">
        <v>2.80389720670391</v>
      </c>
      <c r="AB234" s="30" t="n">
        <v>30.2561452513967</v>
      </c>
      <c r="AD234" s="20" t="n">
        <v>576.75</v>
      </c>
      <c r="AE234" s="30" t="n">
        <f aca="false">AD234*1000/C234/D234*145.038/SQRT(145.038*L234)</f>
        <v>7.73919397653429</v>
      </c>
      <c r="AF234" s="32" t="n">
        <f aca="false">AD234*1000/C234/D234</f>
        <v>3.845</v>
      </c>
    </row>
    <row r="235" customFormat="false" ht="25.5" hidden="false" customHeight="true" outlineLevel="0" collapsed="false">
      <c r="A235" s="40" t="s">
        <v>311</v>
      </c>
      <c r="B235" s="34" t="s">
        <v>312</v>
      </c>
      <c r="C235" s="26" t="n">
        <v>80</v>
      </c>
      <c r="D235" s="26" t="n">
        <v>400</v>
      </c>
      <c r="E235" s="26" t="n">
        <v>1640</v>
      </c>
      <c r="F235" s="20" t="n">
        <v>4.1</v>
      </c>
      <c r="G235" s="20" t="n">
        <v>4.1</v>
      </c>
      <c r="H235" s="26" t="n">
        <v>1</v>
      </c>
      <c r="I235" s="26" t="n">
        <v>2</v>
      </c>
      <c r="J235" s="26" t="n">
        <v>1</v>
      </c>
      <c r="K235" s="20" t="n">
        <v>0.5</v>
      </c>
      <c r="L235" s="20" t="n">
        <v>41.8</v>
      </c>
      <c r="M235" s="20" t="n">
        <v>0</v>
      </c>
      <c r="N235" s="20" t="n">
        <v>0</v>
      </c>
      <c r="O235" s="20" t="n">
        <v>0</v>
      </c>
      <c r="P235" s="20" t="n">
        <v>0.35619375</v>
      </c>
      <c r="Q235" s="20" t="n">
        <v>262</v>
      </c>
      <c r="R235" s="20" t="n">
        <v>1.41</v>
      </c>
      <c r="S235" s="20" t="n">
        <v>412</v>
      </c>
      <c r="U235" s="35"/>
      <c r="V235" s="28" t="n">
        <v>0</v>
      </c>
      <c r="W235" s="29" t="n">
        <f aca="false">D235/C235</f>
        <v>5</v>
      </c>
      <c r="X235" s="35"/>
      <c r="Y235" s="30" t="n">
        <v>13.8976076555024</v>
      </c>
      <c r="Z235" s="30" t="n">
        <v>2.23260197368421</v>
      </c>
      <c r="AA235" s="30" t="n">
        <v>0</v>
      </c>
      <c r="AB235" s="30" t="n">
        <v>0</v>
      </c>
      <c r="AD235" s="28" t="n">
        <v>75.8699237804878</v>
      </c>
      <c r="AE235" s="30" t="n">
        <f aca="false">AD235*1000/C235/D235*145.038/SQRT(145.038*L235)</f>
        <v>4.41644096725007</v>
      </c>
      <c r="AF235" s="32" t="n">
        <f aca="false">AD235*1000/C235/D235</f>
        <v>2.37093511814024</v>
      </c>
    </row>
    <row r="236" customFormat="false" ht="25.5" hidden="false" customHeight="true" outlineLevel="0" collapsed="false">
      <c r="A236" s="40"/>
      <c r="B236" s="34" t="s">
        <v>313</v>
      </c>
      <c r="C236" s="26" t="n">
        <v>80</v>
      </c>
      <c r="D236" s="26" t="n">
        <v>400</v>
      </c>
      <c r="E236" s="26" t="n">
        <v>1640</v>
      </c>
      <c r="F236" s="20" t="n">
        <v>4.1</v>
      </c>
      <c r="G236" s="20" t="n">
        <v>4.1</v>
      </c>
      <c r="H236" s="26" t="n">
        <v>1</v>
      </c>
      <c r="I236" s="26" t="n">
        <v>2</v>
      </c>
      <c r="J236" s="26" t="n">
        <v>1</v>
      </c>
      <c r="K236" s="20" t="n">
        <v>0.5</v>
      </c>
      <c r="L236" s="20" t="n">
        <v>42.9</v>
      </c>
      <c r="M236" s="20" t="n">
        <v>0</v>
      </c>
      <c r="N236" s="20" t="n">
        <v>0</v>
      </c>
      <c r="O236" s="20" t="n">
        <v>0</v>
      </c>
      <c r="P236" s="20" t="n">
        <v>0.35619375</v>
      </c>
      <c r="Q236" s="20" t="n">
        <v>262</v>
      </c>
      <c r="R236" s="29" t="n">
        <v>1.41</v>
      </c>
      <c r="S236" s="20" t="n">
        <v>412</v>
      </c>
      <c r="U236" s="35"/>
      <c r="V236" s="28" t="n">
        <v>0</v>
      </c>
      <c r="W236" s="29" t="n">
        <f aca="false">D236/C236</f>
        <v>5</v>
      </c>
      <c r="X236" s="35"/>
      <c r="Y236" s="30" t="n">
        <v>13.5412587412587</v>
      </c>
      <c r="Z236" s="30" t="n">
        <v>2.17535576923077</v>
      </c>
      <c r="AA236" s="30" t="n">
        <v>0</v>
      </c>
      <c r="AB236" s="30" t="n">
        <v>0</v>
      </c>
      <c r="AD236" s="28" t="n">
        <v>78.172256097561</v>
      </c>
      <c r="AE236" s="30" t="n">
        <f aca="false">AD236*1000/C236/D236*145.038/SQRT(145.038*L236)</f>
        <v>4.49174324068093</v>
      </c>
      <c r="AF236" s="32" t="n">
        <f aca="false">AD236*1000/C236/D236</f>
        <v>2.44288300304878</v>
      </c>
    </row>
    <row r="237" customFormat="false" ht="25.5" hidden="false" customHeight="true" outlineLevel="0" collapsed="false">
      <c r="A237" s="42" t="s">
        <v>314</v>
      </c>
      <c r="B237" s="25" t="s">
        <v>315</v>
      </c>
      <c r="C237" s="26" t="n">
        <v>100</v>
      </c>
      <c r="D237" s="26" t="n">
        <v>1000</v>
      </c>
      <c r="E237" s="26" t="n">
        <v>1000</v>
      </c>
      <c r="F237" s="13" t="n">
        <v>1</v>
      </c>
      <c r="G237" s="20" t="n">
        <v>1</v>
      </c>
      <c r="H237" s="26" t="n">
        <v>3</v>
      </c>
      <c r="I237" s="26" t="n">
        <v>1</v>
      </c>
      <c r="J237" s="26" t="n">
        <v>1</v>
      </c>
      <c r="K237" s="28" t="n">
        <v>0.050032597743841</v>
      </c>
      <c r="L237" s="20" t="n">
        <v>103.3</v>
      </c>
      <c r="M237" s="29" t="n">
        <v>3.87975888</v>
      </c>
      <c r="N237" s="20" t="n">
        <v>630</v>
      </c>
      <c r="O237" s="29" t="n">
        <v>0.613018432</v>
      </c>
      <c r="P237" s="29" t="n">
        <v>0.27697626</v>
      </c>
      <c r="Q237" s="20" t="n">
        <v>610</v>
      </c>
      <c r="R237" s="29" t="n">
        <v>0.3646</v>
      </c>
      <c r="S237" s="20" t="n">
        <v>610</v>
      </c>
      <c r="U237" s="27" t="n">
        <v>21</v>
      </c>
      <c r="V237" s="28" t="n">
        <v>0.306122448979592</v>
      </c>
      <c r="W237" s="29" t="n">
        <f aca="false">D237/C237</f>
        <v>10</v>
      </c>
      <c r="X237" s="13"/>
      <c r="Y237" s="30" t="n">
        <v>2.15301064859632</v>
      </c>
      <c r="Z237" s="30" t="n">
        <v>1.63558101258471</v>
      </c>
      <c r="AA237" s="30" t="n">
        <v>3.66149440991288</v>
      </c>
      <c r="AB237" s="30" t="n">
        <v>23.6616466060019</v>
      </c>
      <c r="AD237" s="39" t="n">
        <v>892.3</v>
      </c>
      <c r="AE237" s="30" t="n">
        <f aca="false">AD237*1000/C237/D237*145.038/SQRT(145.038*L237)</f>
        <v>10.5730828041571</v>
      </c>
      <c r="AF237" s="32" t="n">
        <f aca="false">AD237*1000/C237/D237</f>
        <v>8.923</v>
      </c>
    </row>
    <row r="238" customFormat="false" ht="25.5" hidden="false" customHeight="true" outlineLevel="0" collapsed="false">
      <c r="A238" s="42"/>
      <c r="B238" s="25" t="s">
        <v>316</v>
      </c>
      <c r="C238" s="26" t="n">
        <v>100</v>
      </c>
      <c r="D238" s="26" t="n">
        <v>1000</v>
      </c>
      <c r="E238" s="26" t="n">
        <v>1000</v>
      </c>
      <c r="F238" s="13" t="n">
        <v>1</v>
      </c>
      <c r="G238" s="20" t="n">
        <v>1</v>
      </c>
      <c r="H238" s="26" t="n">
        <v>3</v>
      </c>
      <c r="I238" s="26" t="n">
        <v>1</v>
      </c>
      <c r="J238" s="26" t="n">
        <v>1</v>
      </c>
      <c r="K238" s="28" t="n">
        <v>0.0500716815651881</v>
      </c>
      <c r="L238" s="20" t="n">
        <v>96.8</v>
      </c>
      <c r="M238" s="29" t="n">
        <v>3.87975888</v>
      </c>
      <c r="N238" s="20" t="n">
        <v>630</v>
      </c>
      <c r="O238" s="29" t="n">
        <v>0.613018432</v>
      </c>
      <c r="P238" s="29" t="n">
        <v>0.27697626</v>
      </c>
      <c r="Q238" s="20" t="n">
        <v>610</v>
      </c>
      <c r="R238" s="29" t="n">
        <v>0.9864</v>
      </c>
      <c r="S238" s="20" t="n">
        <v>617</v>
      </c>
      <c r="U238" s="27" t="n">
        <v>21</v>
      </c>
      <c r="V238" s="28" t="n">
        <v>0.306122448979592</v>
      </c>
      <c r="W238" s="29" t="n">
        <f aca="false">D238/C238</f>
        <v>10</v>
      </c>
      <c r="X238" s="13"/>
      <c r="Y238" s="30" t="n">
        <v>6.28728099173554</v>
      </c>
      <c r="Z238" s="30" t="n">
        <v>1.74540825</v>
      </c>
      <c r="AA238" s="30" t="n">
        <v>3.90735922049587</v>
      </c>
      <c r="AB238" s="30" t="n">
        <v>25.2504968429752</v>
      </c>
      <c r="AD238" s="39" t="n">
        <v>1267.775</v>
      </c>
      <c r="AE238" s="30" t="n">
        <f aca="false">AD238*1000/C238/D238*145.038/SQRT(145.038*L238)</f>
        <v>15.5183451145662</v>
      </c>
      <c r="AF238" s="32" t="n">
        <f aca="false">AD238*1000/C238/D238</f>
        <v>12.67775</v>
      </c>
    </row>
    <row r="239" customFormat="false" ht="25.5" hidden="false" customHeight="true" outlineLevel="0" collapsed="false">
      <c r="A239" s="42"/>
      <c r="B239" s="25" t="s">
        <v>317</v>
      </c>
      <c r="C239" s="26" t="n">
        <v>100</v>
      </c>
      <c r="D239" s="26" t="n">
        <v>1000</v>
      </c>
      <c r="E239" s="26" t="n">
        <v>1000</v>
      </c>
      <c r="F239" s="13" t="n">
        <v>1</v>
      </c>
      <c r="G239" s="20" t="n">
        <v>1</v>
      </c>
      <c r="H239" s="26" t="n">
        <v>3</v>
      </c>
      <c r="I239" s="26" t="n">
        <v>1</v>
      </c>
      <c r="J239" s="26" t="n">
        <v>1</v>
      </c>
      <c r="K239" s="28" t="n">
        <v>0.0500064524454768</v>
      </c>
      <c r="L239" s="20" t="n">
        <v>110.7</v>
      </c>
      <c r="M239" s="29" t="n">
        <v>3.87975888</v>
      </c>
      <c r="N239" s="20" t="n">
        <v>630</v>
      </c>
      <c r="O239" s="29" t="n">
        <v>0.613018432</v>
      </c>
      <c r="P239" s="29" t="n">
        <v>0.749305265</v>
      </c>
      <c r="Q239" s="20" t="n">
        <v>617</v>
      </c>
      <c r="R239" s="29" t="n">
        <v>0.3646</v>
      </c>
      <c r="S239" s="20" t="n">
        <v>610</v>
      </c>
      <c r="U239" s="27" t="n">
        <v>21</v>
      </c>
      <c r="V239" s="28" t="n">
        <v>0.306122448979592</v>
      </c>
      <c r="W239" s="29" t="n">
        <f aca="false">D239/C239</f>
        <v>10</v>
      </c>
      <c r="X239" s="13"/>
      <c r="Y239" s="30" t="n">
        <v>2.00908762420958</v>
      </c>
      <c r="Z239" s="30" t="n">
        <v>4.17634461160795</v>
      </c>
      <c r="AA239" s="30" t="n">
        <v>3.41673326598013</v>
      </c>
      <c r="AB239" s="30" t="n">
        <v>22.0799285853659</v>
      </c>
      <c r="AD239" s="39" t="n">
        <v>1430.805</v>
      </c>
      <c r="AE239" s="30" t="n">
        <f aca="false">AD239*1000/C239/D239*145.038/SQRT(145.038*L239)</f>
        <v>16.3774974284705</v>
      </c>
      <c r="AF239" s="32" t="n">
        <f aca="false">AD239*1000/C239/D239</f>
        <v>14.30805</v>
      </c>
    </row>
    <row r="240" customFormat="false" ht="25.5" hidden="false" customHeight="true" outlineLevel="0" collapsed="false">
      <c r="A240" s="42"/>
      <c r="B240" s="25" t="s">
        <v>318</v>
      </c>
      <c r="C240" s="26" t="n">
        <v>100</v>
      </c>
      <c r="D240" s="26" t="n">
        <v>1000</v>
      </c>
      <c r="E240" s="26" t="n">
        <v>1000</v>
      </c>
      <c r="F240" s="13" t="n">
        <v>1</v>
      </c>
      <c r="G240" s="20" t="n">
        <v>1</v>
      </c>
      <c r="H240" s="26" t="n">
        <v>2</v>
      </c>
      <c r="I240" s="26" t="n">
        <v>1</v>
      </c>
      <c r="J240" s="26" t="n">
        <v>1</v>
      </c>
      <c r="K240" s="28" t="n">
        <v>0.0500134651636979</v>
      </c>
      <c r="L240" s="20" t="n">
        <v>93.5</v>
      </c>
      <c r="M240" s="29" t="n">
        <v>6.9693575625</v>
      </c>
      <c r="N240" s="20" t="n">
        <v>630</v>
      </c>
      <c r="O240" s="29" t="n">
        <v>2.55424346666667</v>
      </c>
      <c r="P240" s="29" t="n">
        <v>0.27697626</v>
      </c>
      <c r="Q240" s="20" t="n">
        <v>610</v>
      </c>
      <c r="R240" s="29" t="n">
        <v>0.3779</v>
      </c>
      <c r="S240" s="20" t="n">
        <v>610</v>
      </c>
      <c r="U240" s="27" t="n">
        <v>21</v>
      </c>
      <c r="V240" s="28" t="n">
        <v>0.302158273381295</v>
      </c>
      <c r="W240" s="29" t="n">
        <f aca="false">D240/C240</f>
        <v>10</v>
      </c>
      <c r="X240" s="13"/>
      <c r="Y240" s="30" t="n">
        <v>2.46544385026738</v>
      </c>
      <c r="Z240" s="30" t="n">
        <v>1.80701089411765</v>
      </c>
      <c r="AA240" s="30" t="n">
        <v>16.8552750688057</v>
      </c>
      <c r="AB240" s="30" t="n">
        <v>46.9593076403743</v>
      </c>
      <c r="AD240" s="39" t="n">
        <v>818.43</v>
      </c>
      <c r="AE240" s="30" t="n">
        <f aca="false">AD240*1000/C240/D240*145.038/SQRT(145.038*L240)</f>
        <v>10.19334294988</v>
      </c>
      <c r="AF240" s="32" t="n">
        <f aca="false">AD240*1000/C240/D240</f>
        <v>8.1843</v>
      </c>
    </row>
    <row r="241" customFormat="false" ht="25.5" hidden="false" customHeight="true" outlineLevel="0" collapsed="false">
      <c r="A241" s="42"/>
      <c r="B241" s="25" t="s">
        <v>319</v>
      </c>
      <c r="C241" s="26" t="n">
        <v>100</v>
      </c>
      <c r="D241" s="26" t="n">
        <v>1000</v>
      </c>
      <c r="E241" s="26" t="n">
        <v>2000</v>
      </c>
      <c r="F241" s="13" t="n">
        <v>2</v>
      </c>
      <c r="G241" s="20" t="n">
        <v>2</v>
      </c>
      <c r="H241" s="26" t="n">
        <v>3</v>
      </c>
      <c r="I241" s="26" t="n">
        <v>1</v>
      </c>
      <c r="J241" s="26" t="n">
        <v>1</v>
      </c>
      <c r="K241" s="28" t="n">
        <v>0.050032597743841</v>
      </c>
      <c r="L241" s="20" t="n">
        <v>103.3</v>
      </c>
      <c r="M241" s="29" t="n">
        <v>3.87975888</v>
      </c>
      <c r="N241" s="20" t="n">
        <v>630</v>
      </c>
      <c r="O241" s="29" t="n">
        <v>0.613018432</v>
      </c>
      <c r="P241" s="29" t="n">
        <v>0.27697626</v>
      </c>
      <c r="Q241" s="20" t="n">
        <v>610</v>
      </c>
      <c r="R241" s="29" t="n">
        <v>0.3646</v>
      </c>
      <c r="S241" s="20" t="n">
        <v>610</v>
      </c>
      <c r="U241" s="27" t="n">
        <v>21</v>
      </c>
      <c r="V241" s="28" t="n">
        <v>0.306122448979592</v>
      </c>
      <c r="W241" s="29" t="n">
        <f aca="false">D241/C241</f>
        <v>10</v>
      </c>
      <c r="X241" s="13"/>
      <c r="Y241" s="30" t="n">
        <v>2.15301064859632</v>
      </c>
      <c r="Z241" s="30" t="n">
        <v>1.63558101258471</v>
      </c>
      <c r="AA241" s="30" t="n">
        <v>3.66149440991288</v>
      </c>
      <c r="AB241" s="30" t="n">
        <v>23.6616466060019</v>
      </c>
      <c r="AD241" s="39" t="n">
        <v>575.4826</v>
      </c>
      <c r="AE241" s="30" t="n">
        <f aca="false">AD241*1000/C241/D241*145.038/SQRT(145.038*L241)</f>
        <v>6.8190352820258</v>
      </c>
      <c r="AF241" s="32" t="n">
        <f aca="false">AD241*1000/C241/D241</f>
        <v>5.754826</v>
      </c>
    </row>
    <row r="242" customFormat="false" ht="25.5" hidden="false" customHeight="true" outlineLevel="0" collapsed="false">
      <c r="A242" s="42"/>
      <c r="B242" s="25" t="s">
        <v>320</v>
      </c>
      <c r="C242" s="26" t="n">
        <v>100</v>
      </c>
      <c r="D242" s="26" t="n">
        <v>1000</v>
      </c>
      <c r="E242" s="26" t="n">
        <v>2000</v>
      </c>
      <c r="F242" s="13" t="n">
        <v>2</v>
      </c>
      <c r="G242" s="20" t="n">
        <v>2</v>
      </c>
      <c r="H242" s="26" t="n">
        <v>3</v>
      </c>
      <c r="I242" s="26" t="n">
        <v>1</v>
      </c>
      <c r="J242" s="26" t="n">
        <v>1</v>
      </c>
      <c r="K242" s="28" t="n">
        <v>0.0500716815651881</v>
      </c>
      <c r="L242" s="20" t="n">
        <v>96.8</v>
      </c>
      <c r="M242" s="29" t="n">
        <v>3.87975888</v>
      </c>
      <c r="N242" s="20" t="n">
        <v>630</v>
      </c>
      <c r="O242" s="29" t="n">
        <v>0.613018432</v>
      </c>
      <c r="P242" s="29" t="n">
        <v>0.27697626</v>
      </c>
      <c r="Q242" s="20" t="n">
        <v>610</v>
      </c>
      <c r="R242" s="29" t="n">
        <v>0.9864</v>
      </c>
      <c r="S242" s="20" t="n">
        <v>617</v>
      </c>
      <c r="U242" s="27" t="n">
        <v>21</v>
      </c>
      <c r="V242" s="28" t="n">
        <v>0.306122448979592</v>
      </c>
      <c r="W242" s="29" t="n">
        <f aca="false">D242/C242</f>
        <v>10</v>
      </c>
      <c r="X242" s="13"/>
      <c r="Y242" s="30" t="n">
        <v>6.28728099173554</v>
      </c>
      <c r="Z242" s="30" t="n">
        <v>1.74540825</v>
      </c>
      <c r="AA242" s="30" t="n">
        <v>3.90735922049587</v>
      </c>
      <c r="AB242" s="30" t="n">
        <v>25.2504968429752</v>
      </c>
      <c r="AD242" s="39" t="n">
        <v>699.26995</v>
      </c>
      <c r="AE242" s="30" t="n">
        <f aca="false">AD242*1000/C242/D242*145.038/SQRT(145.038*L242)</f>
        <v>8.55949392624518</v>
      </c>
      <c r="AF242" s="32" t="n">
        <f aca="false">AD242*1000/C242/D242</f>
        <v>6.9926995</v>
      </c>
    </row>
    <row r="243" customFormat="false" ht="25.5" hidden="false" customHeight="true" outlineLevel="0" collapsed="false">
      <c r="A243" s="42"/>
      <c r="B243" s="25" t="s">
        <v>321</v>
      </c>
      <c r="C243" s="26" t="n">
        <v>100</v>
      </c>
      <c r="D243" s="26" t="n">
        <v>1000</v>
      </c>
      <c r="E243" s="26" t="n">
        <v>2000</v>
      </c>
      <c r="F243" s="13" t="n">
        <v>2</v>
      </c>
      <c r="G243" s="20" t="n">
        <v>2</v>
      </c>
      <c r="H243" s="26" t="n">
        <v>3</v>
      </c>
      <c r="I243" s="26" t="n">
        <v>1</v>
      </c>
      <c r="J243" s="26" t="n">
        <v>1</v>
      </c>
      <c r="K243" s="28" t="n">
        <v>0.0500064524454768</v>
      </c>
      <c r="L243" s="20" t="n">
        <v>110.7</v>
      </c>
      <c r="M243" s="29" t="n">
        <v>3.87975888</v>
      </c>
      <c r="N243" s="20" t="n">
        <v>630</v>
      </c>
      <c r="O243" s="29" t="n">
        <v>0.613018432</v>
      </c>
      <c r="P243" s="29" t="n">
        <v>0.749305265</v>
      </c>
      <c r="Q243" s="20" t="n">
        <v>617</v>
      </c>
      <c r="R243" s="29" t="n">
        <v>0.3646</v>
      </c>
      <c r="S243" s="20" t="n">
        <v>610</v>
      </c>
      <c r="U243" s="27" t="n">
        <v>21</v>
      </c>
      <c r="V243" s="28" t="n">
        <v>0.306122448979592</v>
      </c>
      <c r="W243" s="29" t="n">
        <f aca="false">D243/C243</f>
        <v>10</v>
      </c>
      <c r="X243" s="13"/>
      <c r="Y243" s="30" t="n">
        <v>2.00908762420958</v>
      </c>
      <c r="Z243" s="30" t="n">
        <v>4.17634461160795</v>
      </c>
      <c r="AA243" s="30" t="n">
        <v>3.41673326598013</v>
      </c>
      <c r="AB243" s="30" t="n">
        <v>22.0799285853659</v>
      </c>
      <c r="AD243" s="39" t="n">
        <v>876.3069</v>
      </c>
      <c r="AE243" s="30" t="n">
        <f aca="false">AD243*1000/C243/D243*145.038/SQRT(145.038*L243)</f>
        <v>10.0305170874444</v>
      </c>
      <c r="AF243" s="32" t="n">
        <f aca="false">AD243*1000/C243/D243</f>
        <v>8.763069</v>
      </c>
    </row>
    <row r="244" customFormat="false" ht="25.5" hidden="false" customHeight="true" outlineLevel="0" collapsed="false">
      <c r="A244" s="42" t="s">
        <v>322</v>
      </c>
      <c r="B244" s="25" t="s">
        <v>323</v>
      </c>
      <c r="C244" s="26" t="n">
        <v>28</v>
      </c>
      <c r="D244" s="26" t="n">
        <v>850</v>
      </c>
      <c r="E244" s="26" t="n">
        <v>990</v>
      </c>
      <c r="F244" s="13" t="n">
        <v>1.16</v>
      </c>
      <c r="G244" s="20" t="n">
        <v>1.16470588235294</v>
      </c>
      <c r="H244" s="26" t="n">
        <v>2</v>
      </c>
      <c r="I244" s="26" t="n">
        <v>2</v>
      </c>
      <c r="J244" s="26" t="n">
        <v>1</v>
      </c>
      <c r="K244" s="13" t="n">
        <v>0</v>
      </c>
      <c r="L244" s="20" t="n">
        <v>85.8</v>
      </c>
      <c r="M244" s="20" t="n">
        <v>2.25089155555556</v>
      </c>
      <c r="N244" s="20" t="n">
        <v>814</v>
      </c>
      <c r="O244" s="20" t="n">
        <v>0.418666666666667</v>
      </c>
      <c r="P244" s="20" t="n">
        <v>2.24285714285714</v>
      </c>
      <c r="Q244" s="20" t="n">
        <v>423.5</v>
      </c>
      <c r="R244" s="20" t="n">
        <v>1.12142857142857</v>
      </c>
      <c r="S244" s="20" t="n">
        <v>423.5</v>
      </c>
      <c r="U244" s="27" t="n">
        <v>22</v>
      </c>
      <c r="V244" s="28" t="n">
        <v>0.372516556291391</v>
      </c>
      <c r="W244" s="29" t="n">
        <f aca="false">D244/C244</f>
        <v>30.3571428571429</v>
      </c>
      <c r="X244" s="13"/>
      <c r="Y244" s="30" t="n">
        <v>5.53525641025641</v>
      </c>
      <c r="Z244" s="30" t="n">
        <v>11.0705128205128</v>
      </c>
      <c r="AA244" s="30" t="n">
        <v>2.06649572649573</v>
      </c>
      <c r="AB244" s="30" t="n">
        <v>21.3546121937322</v>
      </c>
      <c r="AD244" s="39" t="n">
        <v>326.09828115</v>
      </c>
      <c r="AE244" s="30" t="n">
        <f aca="false">AD244*1000/C244/D244*145.038/SQRT(145.038*L244)</f>
        <v>17.8143019755858</v>
      </c>
      <c r="AF244" s="32" t="n">
        <f aca="false">AD244*1000/C244/D244</f>
        <v>13.7016084516807</v>
      </c>
    </row>
    <row r="245" customFormat="false" ht="25.5" hidden="false" customHeight="true" outlineLevel="0" collapsed="false">
      <c r="A245" s="42"/>
      <c r="B245" s="25" t="s">
        <v>324</v>
      </c>
      <c r="C245" s="26" t="n">
        <v>26</v>
      </c>
      <c r="D245" s="26" t="n">
        <v>900</v>
      </c>
      <c r="E245" s="26" t="n">
        <v>510</v>
      </c>
      <c r="F245" s="13" t="n">
        <v>0.57</v>
      </c>
      <c r="G245" s="20" t="n">
        <v>0.566666666666667</v>
      </c>
      <c r="H245" s="26" t="n">
        <v>2</v>
      </c>
      <c r="I245" s="26" t="n">
        <v>2</v>
      </c>
      <c r="J245" s="26" t="n">
        <v>1</v>
      </c>
      <c r="K245" s="13" t="n">
        <v>0.0198397290709463</v>
      </c>
      <c r="L245" s="20" t="n">
        <v>61.2</v>
      </c>
      <c r="M245" s="20" t="n">
        <v>2.25089155555556</v>
      </c>
      <c r="N245" s="20" t="n">
        <v>388</v>
      </c>
      <c r="O245" s="20" t="n">
        <v>0.418666666666667</v>
      </c>
      <c r="P245" s="20" t="n">
        <v>2.41538461538462</v>
      </c>
      <c r="Q245" s="20" t="n">
        <v>423.5</v>
      </c>
      <c r="R245" s="20" t="n">
        <v>1.20769230769231</v>
      </c>
      <c r="S245" s="20" t="n">
        <v>494.6</v>
      </c>
      <c r="U245" s="27" t="n">
        <v>22</v>
      </c>
      <c r="V245" s="28" t="n">
        <v>0.371287128712871</v>
      </c>
      <c r="W245" s="29" t="n">
        <f aca="false">D245/C245</f>
        <v>34.6153846153846</v>
      </c>
      <c r="X245" s="13"/>
      <c r="Y245" s="30" t="n">
        <v>9.76020613373555</v>
      </c>
      <c r="Z245" s="30" t="n">
        <v>16.714303670186</v>
      </c>
      <c r="AA245" s="30" t="n">
        <v>2.89714596949891</v>
      </c>
      <c r="AB245" s="30" t="n">
        <v>14.270358228032</v>
      </c>
      <c r="AD245" s="39" t="n">
        <v>361.31372865</v>
      </c>
      <c r="AE245" s="30" t="n">
        <f aca="false">AD245*1000/C245/D245*145.038/SQRT(145.038*L245)</f>
        <v>23.77025256679</v>
      </c>
      <c r="AF245" s="32" t="n">
        <f aca="false">AD245*1000/C245/D245</f>
        <v>15.4407576346154</v>
      </c>
    </row>
    <row r="246" customFormat="false" ht="25.5" hidden="false" customHeight="true" outlineLevel="0" collapsed="false">
      <c r="A246" s="52" t="s">
        <v>325</v>
      </c>
      <c r="B246" s="25" t="s">
        <v>326</v>
      </c>
      <c r="C246" s="26" t="n">
        <v>200</v>
      </c>
      <c r="D246" s="26" t="n">
        <v>1700</v>
      </c>
      <c r="E246" s="26" t="n">
        <v>3300</v>
      </c>
      <c r="F246" s="20" t="n">
        <v>1.94117647058824</v>
      </c>
      <c r="G246" s="20" t="n">
        <v>1.94117647058824</v>
      </c>
      <c r="H246" s="26" t="n">
        <v>1</v>
      </c>
      <c r="I246" s="26" t="n">
        <v>2</v>
      </c>
      <c r="J246" s="26" t="n">
        <v>1</v>
      </c>
      <c r="K246" s="13" t="n">
        <v>0.0757878151260504</v>
      </c>
      <c r="L246" s="20" t="n">
        <v>37.8378378378378</v>
      </c>
      <c r="M246" s="20" t="n">
        <v>1.88348412018498</v>
      </c>
      <c r="N246" s="20" t="n">
        <v>452</v>
      </c>
      <c r="O246" s="20" t="n">
        <v>1.00530964914873</v>
      </c>
      <c r="P246" s="20" t="n">
        <v>0.3925</v>
      </c>
      <c r="Q246" s="20" t="n">
        <v>464</v>
      </c>
      <c r="R246" s="20" t="n">
        <v>0.401054381309335</v>
      </c>
      <c r="S246" s="20" t="n">
        <v>456</v>
      </c>
      <c r="U246" s="27"/>
      <c r="V246" s="28" t="n">
        <v>0.251176470588235</v>
      </c>
      <c r="W246" s="29" t="n">
        <f aca="false">D246/C246</f>
        <v>8.5</v>
      </c>
      <c r="X246" s="13"/>
      <c r="Y246" s="30" t="n">
        <v>4.83327822960793</v>
      </c>
      <c r="Z246" s="30" t="n">
        <v>4.81317142857143</v>
      </c>
      <c r="AA246" s="30" t="n">
        <v>12.6999331820318</v>
      </c>
      <c r="AB246" s="30" t="n">
        <v>22.4995631614097</v>
      </c>
      <c r="AD246" s="39" t="n">
        <v>769</v>
      </c>
      <c r="AE246" s="30" t="n">
        <f aca="false">AD246*1000/C246/D246*145.038/SQRT(145.038*L246)</f>
        <v>4.42817900151281</v>
      </c>
      <c r="AF246" s="32" t="n">
        <f aca="false">AD246*1000/C246/D246</f>
        <v>2.26176470588235</v>
      </c>
    </row>
    <row r="247" customFormat="false" ht="25.5" hidden="false" customHeight="true" outlineLevel="0" collapsed="false">
      <c r="A247" s="33" t="s">
        <v>327</v>
      </c>
      <c r="B247" s="34" t="s">
        <v>328</v>
      </c>
      <c r="C247" s="26" t="n">
        <v>50</v>
      </c>
      <c r="D247" s="26" t="n">
        <v>500</v>
      </c>
      <c r="E247" s="26" t="n">
        <v>1500</v>
      </c>
      <c r="F247" s="20" t="n">
        <v>3</v>
      </c>
      <c r="G247" s="20" t="n">
        <v>3</v>
      </c>
      <c r="H247" s="26" t="n">
        <v>1</v>
      </c>
      <c r="I247" s="26" t="n">
        <v>2</v>
      </c>
      <c r="J247" s="26" t="n">
        <v>1</v>
      </c>
      <c r="K247" s="20" t="n">
        <v>0</v>
      </c>
      <c r="L247" s="20" t="n">
        <v>21.6</v>
      </c>
      <c r="M247" s="20" t="n">
        <v>4.5216</v>
      </c>
      <c r="N247" s="20" t="n">
        <v>276</v>
      </c>
      <c r="O247" s="20" t="n">
        <v>0</v>
      </c>
      <c r="P247" s="20" t="n">
        <v>0.2826</v>
      </c>
      <c r="Q247" s="20" t="n">
        <v>216</v>
      </c>
      <c r="R247" s="20" t="n">
        <v>0.2826</v>
      </c>
      <c r="S247" s="20" t="n">
        <v>216</v>
      </c>
      <c r="U247" s="35"/>
      <c r="V247" s="28" t="n">
        <v>0.1</v>
      </c>
      <c r="W247" s="29" t="n">
        <f aca="false">D247/C247</f>
        <v>10</v>
      </c>
      <c r="X247" s="35"/>
      <c r="Y247" s="30" t="n">
        <v>2.826</v>
      </c>
      <c r="Z247" s="30" t="n">
        <v>2.826</v>
      </c>
      <c r="AA247" s="30" t="n">
        <v>0</v>
      </c>
      <c r="AB247" s="30" t="n">
        <v>57.776</v>
      </c>
      <c r="AD247" s="28" t="n">
        <v>15.7</v>
      </c>
      <c r="AE247" s="30" t="n">
        <f aca="false">AD247*1000/C247/D247*145.038/SQRT(145.038*L247)</f>
        <v>1.62732265051799</v>
      </c>
      <c r="AF247" s="32" t="n">
        <f aca="false">AD247*1000/C247/D247</f>
        <v>0.628</v>
      </c>
    </row>
    <row r="248" customFormat="false" ht="25.5" hidden="false" customHeight="true" outlineLevel="0" collapsed="false">
      <c r="A248" s="33"/>
      <c r="B248" s="25" t="s">
        <v>329</v>
      </c>
      <c r="C248" s="26" t="n">
        <v>50</v>
      </c>
      <c r="D248" s="26" t="n">
        <v>500</v>
      </c>
      <c r="E248" s="26" t="n">
        <v>1500</v>
      </c>
      <c r="F248" s="20" t="n">
        <v>3</v>
      </c>
      <c r="G248" s="20" t="n">
        <v>3</v>
      </c>
      <c r="H248" s="26" t="n">
        <v>1</v>
      </c>
      <c r="I248" s="26" t="n">
        <v>2</v>
      </c>
      <c r="J248" s="26" t="n">
        <v>1</v>
      </c>
      <c r="K248" s="20" t="n">
        <v>0</v>
      </c>
      <c r="L248" s="20" t="n">
        <v>21.6</v>
      </c>
      <c r="M248" s="20" t="n">
        <v>2.2608</v>
      </c>
      <c r="N248" s="20" t="n">
        <v>276</v>
      </c>
      <c r="O248" s="20" t="n">
        <v>0</v>
      </c>
      <c r="P248" s="20" t="n">
        <v>0.2826</v>
      </c>
      <c r="Q248" s="20" t="n">
        <v>216</v>
      </c>
      <c r="R248" s="20" t="n">
        <v>0.2826</v>
      </c>
      <c r="S248" s="20" t="n">
        <v>216</v>
      </c>
      <c r="U248" s="35"/>
      <c r="V248" s="28" t="n">
        <v>0.2</v>
      </c>
      <c r="W248" s="29" t="n">
        <f aca="false">D248/C248</f>
        <v>10</v>
      </c>
      <c r="X248" s="35"/>
      <c r="Y248" s="30" t="n">
        <v>2.826</v>
      </c>
      <c r="Z248" s="30" t="n">
        <v>2.826</v>
      </c>
      <c r="AA248" s="30" t="n">
        <v>0</v>
      </c>
      <c r="AB248" s="30" t="n">
        <v>28.888</v>
      </c>
      <c r="AD248" s="28" t="n">
        <v>18.4</v>
      </c>
      <c r="AE248" s="30" t="n">
        <f aca="false">AD248*1000/C248/D248*145.038/SQRT(145.038*L248)</f>
        <v>1.90718068595739</v>
      </c>
      <c r="AF248" s="32" t="n">
        <f aca="false">AD248*1000/C248/D248</f>
        <v>0.736</v>
      </c>
    </row>
    <row r="249" customFormat="false" ht="25.5" hidden="false" customHeight="true" outlineLevel="0" collapsed="false">
      <c r="A249" s="33"/>
      <c r="B249" s="25" t="s">
        <v>330</v>
      </c>
      <c r="C249" s="26" t="n">
        <v>50</v>
      </c>
      <c r="D249" s="26" t="n">
        <v>500</v>
      </c>
      <c r="E249" s="26" t="n">
        <v>1500</v>
      </c>
      <c r="F249" s="20" t="n">
        <v>3</v>
      </c>
      <c r="G249" s="20" t="n">
        <v>3</v>
      </c>
      <c r="H249" s="26" t="n">
        <v>1</v>
      </c>
      <c r="I249" s="26" t="n">
        <v>2</v>
      </c>
      <c r="J249" s="26" t="n">
        <v>1</v>
      </c>
      <c r="K249" s="20" t="n">
        <v>0</v>
      </c>
      <c r="L249" s="20" t="n">
        <v>22.45</v>
      </c>
      <c r="M249" s="20" t="n">
        <v>2.2608</v>
      </c>
      <c r="N249" s="20" t="n">
        <v>276</v>
      </c>
      <c r="O249" s="20" t="n">
        <v>0</v>
      </c>
      <c r="P249" s="20" t="n">
        <v>0.2826</v>
      </c>
      <c r="Q249" s="20" t="n">
        <v>216</v>
      </c>
      <c r="R249" s="20" t="n">
        <v>0.2826</v>
      </c>
      <c r="S249" s="20" t="n">
        <v>216</v>
      </c>
      <c r="U249" s="35"/>
      <c r="V249" s="28" t="n">
        <v>0.2</v>
      </c>
      <c r="W249" s="29" t="n">
        <f aca="false">D249/C249</f>
        <v>10</v>
      </c>
      <c r="X249" s="35"/>
      <c r="Y249" s="30" t="n">
        <v>2.71900222717149</v>
      </c>
      <c r="Z249" s="30" t="n">
        <v>2.71900222717149</v>
      </c>
      <c r="AA249" s="30" t="n">
        <v>0</v>
      </c>
      <c r="AB249" s="30" t="n">
        <v>27.7942449888642</v>
      </c>
      <c r="AD249" s="28" t="n">
        <v>15.3</v>
      </c>
      <c r="AE249" s="30" t="n">
        <f aca="false">AD249*1000/C249/D249*145.038/SQRT(145.038*L249)</f>
        <v>1.55555062862585</v>
      </c>
      <c r="AF249" s="32" t="n">
        <f aca="false">AD249*1000/C249/D249</f>
        <v>0.612</v>
      </c>
    </row>
    <row r="250" customFormat="false" ht="25.5" hidden="false" customHeight="true" outlineLevel="0" collapsed="false">
      <c r="A250" s="33"/>
      <c r="B250" s="25" t="s">
        <v>331</v>
      </c>
      <c r="C250" s="26" t="n">
        <v>50</v>
      </c>
      <c r="D250" s="26" t="n">
        <v>500</v>
      </c>
      <c r="E250" s="26" t="n">
        <v>1500</v>
      </c>
      <c r="F250" s="20" t="n">
        <v>3</v>
      </c>
      <c r="G250" s="20" t="n">
        <v>3</v>
      </c>
      <c r="H250" s="26" t="n">
        <v>1</v>
      </c>
      <c r="I250" s="26" t="n">
        <v>2</v>
      </c>
      <c r="J250" s="26" t="n">
        <v>1</v>
      </c>
      <c r="K250" s="20" t="n">
        <v>0</v>
      </c>
      <c r="L250" s="20" t="n">
        <v>23.45</v>
      </c>
      <c r="M250" s="20" t="n">
        <v>2.2608</v>
      </c>
      <c r="N250" s="20" t="n">
        <v>276</v>
      </c>
      <c r="O250" s="20" t="n">
        <v>0</v>
      </c>
      <c r="P250" s="20" t="n">
        <v>0.2826</v>
      </c>
      <c r="Q250" s="20" t="n">
        <v>216</v>
      </c>
      <c r="R250" s="20" t="n">
        <v>0.2826</v>
      </c>
      <c r="S250" s="20" t="n">
        <v>216</v>
      </c>
      <c r="U250" s="35"/>
      <c r="V250" s="28" t="n">
        <v>0.2</v>
      </c>
      <c r="W250" s="29" t="n">
        <f aca="false">D250/C250</f>
        <v>10</v>
      </c>
      <c r="X250" s="35"/>
      <c r="Y250" s="30" t="n">
        <v>2.60305330490405</v>
      </c>
      <c r="Z250" s="30" t="n">
        <v>2.60305330490405</v>
      </c>
      <c r="AA250" s="30" t="n">
        <v>0</v>
      </c>
      <c r="AB250" s="30" t="n">
        <v>26.6089893390192</v>
      </c>
      <c r="AD250" s="28" t="n">
        <v>20.8116232464929</v>
      </c>
      <c r="AE250" s="30" t="n">
        <f aca="false">AD250*1000/C250/D250*145.038/SQRT(145.038*L250)</f>
        <v>2.07031021169262</v>
      </c>
      <c r="AF250" s="32" t="n">
        <f aca="false">AD250*1000/C250/D250</f>
        <v>0.832464929859716</v>
      </c>
    </row>
    <row r="251" customFormat="false" ht="25.5" hidden="false" customHeight="true" outlineLevel="0" collapsed="false">
      <c r="A251" s="42" t="s">
        <v>332</v>
      </c>
      <c r="B251" s="34" t="s">
        <v>333</v>
      </c>
      <c r="C251" s="26" t="n">
        <v>80</v>
      </c>
      <c r="D251" s="26" t="n">
        <v>1700</v>
      </c>
      <c r="E251" s="26" t="n">
        <v>2000</v>
      </c>
      <c r="F251" s="20" t="n">
        <v>2</v>
      </c>
      <c r="G251" s="20" t="n">
        <v>1.17647058823529</v>
      </c>
      <c r="H251" s="26" t="n">
        <v>2</v>
      </c>
      <c r="I251" s="26" t="n">
        <v>2</v>
      </c>
      <c r="J251" s="26" t="n">
        <v>1</v>
      </c>
      <c r="K251" s="20" t="n">
        <v>0.21</v>
      </c>
      <c r="L251" s="20" t="n">
        <v>62.6</v>
      </c>
      <c r="M251" s="20" t="n">
        <v>2.138832195</v>
      </c>
      <c r="N251" s="20" t="n">
        <v>848</v>
      </c>
      <c r="O251" s="20" t="n">
        <v>1.05510541666667</v>
      </c>
      <c r="P251" s="20" t="n">
        <v>0.7913290625</v>
      </c>
      <c r="Q251" s="20" t="n">
        <v>810</v>
      </c>
      <c r="R251" s="20" t="n">
        <v>0.7913290625</v>
      </c>
      <c r="S251" s="20" t="n">
        <v>810</v>
      </c>
      <c r="U251" s="35"/>
      <c r="V251" s="28" t="n">
        <v>0.217391304347826</v>
      </c>
      <c r="W251" s="29" t="n">
        <f aca="false">D251/C251</f>
        <v>21.25</v>
      </c>
      <c r="X251" s="35"/>
      <c r="Y251" s="30" t="n">
        <v>10.2392418630192</v>
      </c>
      <c r="Z251" s="30" t="n">
        <v>10.2392418630192</v>
      </c>
      <c r="AA251" s="30" t="n">
        <v>13.6523224840256</v>
      </c>
      <c r="AB251" s="30" t="n">
        <v>28.973317913099</v>
      </c>
      <c r="AD251" s="28" t="n">
        <v>1048.5</v>
      </c>
      <c r="AE251" s="30" t="n">
        <f aca="false">AD251*1000/C251/D251*145.038/SQRT(145.038*L251)</f>
        <v>11.7350045153463</v>
      </c>
      <c r="AF251" s="32" t="n">
        <f aca="false">AD251*1000/C251/D251</f>
        <v>7.70955882352941</v>
      </c>
    </row>
    <row r="252" customFormat="false" ht="25.5" hidden="false" customHeight="true" outlineLevel="0" collapsed="false">
      <c r="A252" s="42"/>
      <c r="B252" s="25" t="s">
        <v>334</v>
      </c>
      <c r="C252" s="26" t="n">
        <v>80</v>
      </c>
      <c r="D252" s="26" t="n">
        <v>1700</v>
      </c>
      <c r="E252" s="26" t="n">
        <v>2000</v>
      </c>
      <c r="F252" s="20" t="n">
        <v>2</v>
      </c>
      <c r="G252" s="20" t="n">
        <v>1.17647058823529</v>
      </c>
      <c r="H252" s="26" t="n">
        <v>2</v>
      </c>
      <c r="I252" s="26" t="n">
        <v>2</v>
      </c>
      <c r="J252" s="26" t="n">
        <v>1</v>
      </c>
      <c r="K252" s="20" t="n">
        <v>0.21</v>
      </c>
      <c r="L252" s="20" t="n">
        <v>68.6</v>
      </c>
      <c r="M252" s="20" t="n">
        <v>2.138832195</v>
      </c>
      <c r="N252" s="20" t="n">
        <v>848</v>
      </c>
      <c r="O252" s="20" t="n">
        <v>1.05510541666667</v>
      </c>
      <c r="P252" s="20" t="n">
        <v>0.7913290625</v>
      </c>
      <c r="Q252" s="20" t="n">
        <v>810</v>
      </c>
      <c r="R252" s="20" t="n">
        <v>0.7913290625</v>
      </c>
      <c r="S252" s="20" t="n">
        <v>810</v>
      </c>
      <c r="U252" s="35"/>
      <c r="V252" s="28" t="n">
        <v>0.217391304347826</v>
      </c>
      <c r="W252" s="29" t="n">
        <f aca="false">D252/C252</f>
        <v>21.25</v>
      </c>
      <c r="X252" s="35"/>
      <c r="Y252" s="30" t="n">
        <v>9.34368135021866</v>
      </c>
      <c r="Z252" s="30" t="n">
        <v>9.34368135021866</v>
      </c>
      <c r="AA252" s="30" t="n">
        <v>12.4582418002916</v>
      </c>
      <c r="AB252" s="30" t="n">
        <v>26.4392084746356</v>
      </c>
      <c r="AD252" s="28" t="n">
        <v>1041.05</v>
      </c>
      <c r="AE252" s="30" t="n">
        <f aca="false">AD252*1000/C252/D252*145.038/SQRT(145.038*L252)</f>
        <v>11.1304192564959</v>
      </c>
      <c r="AF252" s="32" t="n">
        <f aca="false">AD252*1000/C252/D252</f>
        <v>7.65477941176471</v>
      </c>
    </row>
    <row r="253" customFormat="false" ht="25.5" hidden="false" customHeight="true" outlineLevel="0" collapsed="false">
      <c r="A253" s="42"/>
      <c r="B253" s="25" t="s">
        <v>335</v>
      </c>
      <c r="C253" s="26" t="n">
        <v>80</v>
      </c>
      <c r="D253" s="26" t="n">
        <v>1700</v>
      </c>
      <c r="E253" s="26" t="n">
        <v>2000</v>
      </c>
      <c r="F253" s="20" t="n">
        <v>2</v>
      </c>
      <c r="G253" s="20" t="n">
        <v>1.17647058823529</v>
      </c>
      <c r="H253" s="26" t="n">
        <v>2</v>
      </c>
      <c r="I253" s="26" t="n">
        <v>2</v>
      </c>
      <c r="J253" s="26" t="n">
        <v>1</v>
      </c>
      <c r="K253" s="20" t="n">
        <v>0.21</v>
      </c>
      <c r="L253" s="20" t="n">
        <v>66.5</v>
      </c>
      <c r="M253" s="20" t="n">
        <v>2.138832195</v>
      </c>
      <c r="N253" s="20" t="n">
        <v>848</v>
      </c>
      <c r="O253" s="20" t="n">
        <v>0.527552708333333</v>
      </c>
      <c r="P253" s="20" t="n">
        <v>0.7913290625</v>
      </c>
      <c r="Q253" s="20" t="n">
        <v>810</v>
      </c>
      <c r="R253" s="20" t="n">
        <v>0.7913290625</v>
      </c>
      <c r="S253" s="20" t="n">
        <v>810</v>
      </c>
      <c r="U253" s="35"/>
      <c r="V253" s="28" t="n">
        <v>0.217391304347826</v>
      </c>
      <c r="W253" s="29" t="n">
        <f aca="false">D253/C253</f>
        <v>21.25</v>
      </c>
      <c r="X253" s="35"/>
      <c r="Y253" s="30" t="n">
        <v>9.63874497180451</v>
      </c>
      <c r="Z253" s="30" t="n">
        <v>9.63874497180451</v>
      </c>
      <c r="AA253" s="30" t="n">
        <v>6.42582998120301</v>
      </c>
      <c r="AB253" s="30" t="n">
        <v>27.2741308475188</v>
      </c>
      <c r="AD253" s="28" t="n">
        <v>985.85</v>
      </c>
      <c r="AE253" s="30" t="n">
        <f aca="false">AD253*1000/C253/D253*145.038/SQRT(145.038*L253)</f>
        <v>10.7053781086657</v>
      </c>
      <c r="AF253" s="32" t="n">
        <f aca="false">AD253*1000/C253/D253</f>
        <v>7.24889705882353</v>
      </c>
    </row>
    <row r="254" customFormat="false" ht="25.5" hidden="false" customHeight="true" outlineLevel="0" collapsed="false">
      <c r="A254" s="42"/>
      <c r="B254" s="25" t="s">
        <v>336</v>
      </c>
      <c r="C254" s="26" t="n">
        <v>80</v>
      </c>
      <c r="D254" s="26" t="n">
        <v>1700</v>
      </c>
      <c r="E254" s="26" t="n">
        <v>2000</v>
      </c>
      <c r="F254" s="20" t="n">
        <v>2</v>
      </c>
      <c r="G254" s="20" t="n">
        <v>1.17647058823529</v>
      </c>
      <c r="H254" s="26" t="n">
        <v>2</v>
      </c>
      <c r="I254" s="26" t="n">
        <v>2</v>
      </c>
      <c r="J254" s="26" t="n">
        <v>1</v>
      </c>
      <c r="K254" s="20" t="n">
        <v>0.18</v>
      </c>
      <c r="L254" s="20" t="n">
        <v>61.4</v>
      </c>
      <c r="M254" s="20" t="n">
        <v>2.138832195</v>
      </c>
      <c r="N254" s="20" t="n">
        <v>848</v>
      </c>
      <c r="O254" s="20" t="n">
        <v>1.05510541666667</v>
      </c>
      <c r="P254" s="20" t="n">
        <v>0.7913290625</v>
      </c>
      <c r="Q254" s="20" t="n">
        <v>810</v>
      </c>
      <c r="R254" s="20" t="n">
        <v>0.7913290625</v>
      </c>
      <c r="S254" s="20" t="n">
        <v>810</v>
      </c>
      <c r="U254" s="35"/>
      <c r="V254" s="28" t="n">
        <v>0.217391304347826</v>
      </c>
      <c r="W254" s="29" t="n">
        <f aca="false">D254/C254</f>
        <v>21.25</v>
      </c>
      <c r="X254" s="35"/>
      <c r="Y254" s="30" t="n">
        <v>10.4393573391694</v>
      </c>
      <c r="Z254" s="30" t="n">
        <v>10.4393573391694</v>
      </c>
      <c r="AA254" s="30" t="n">
        <v>13.9191431188925</v>
      </c>
      <c r="AB254" s="30" t="n">
        <v>29.5395716833876</v>
      </c>
      <c r="AD254" s="28" t="n">
        <v>947.5</v>
      </c>
      <c r="AE254" s="30" t="n">
        <f aca="false">AD254*1000/C254/D254*145.038/SQRT(145.038*L254)</f>
        <v>10.7077204874974</v>
      </c>
      <c r="AF254" s="32" t="n">
        <f aca="false">AD254*1000/C254/D254</f>
        <v>6.96691176470588</v>
      </c>
    </row>
    <row r="255" customFormat="false" ht="25.5" hidden="false" customHeight="true" outlineLevel="0" collapsed="false">
      <c r="A255" s="42"/>
      <c r="B255" s="25" t="s">
        <v>337</v>
      </c>
      <c r="C255" s="26" t="n">
        <v>80</v>
      </c>
      <c r="D255" s="26" t="n">
        <v>1700</v>
      </c>
      <c r="E255" s="26" t="n">
        <v>2000</v>
      </c>
      <c r="F255" s="20" t="n">
        <v>2</v>
      </c>
      <c r="G255" s="20" t="n">
        <v>1.17647058823529</v>
      </c>
      <c r="H255" s="26" t="n">
        <v>2</v>
      </c>
      <c r="I255" s="26" t="n">
        <v>2</v>
      </c>
      <c r="J255" s="26" t="n">
        <v>1</v>
      </c>
      <c r="K255" s="20" t="n">
        <v>0.21</v>
      </c>
      <c r="L255" s="20" t="n">
        <v>59.7</v>
      </c>
      <c r="M255" s="20" t="n">
        <v>2.138832195</v>
      </c>
      <c r="N255" s="20" t="n">
        <v>848</v>
      </c>
      <c r="O255" s="20" t="n">
        <v>1.05510541666667</v>
      </c>
      <c r="P255" s="20" t="n">
        <v>0.7913290625</v>
      </c>
      <c r="Q255" s="20" t="n">
        <v>810</v>
      </c>
      <c r="R255" s="20" t="n">
        <v>0.7913290625</v>
      </c>
      <c r="S255" s="20" t="n">
        <v>810</v>
      </c>
      <c r="U255" s="35"/>
      <c r="V255" s="28" t="n">
        <v>0.217391304347826</v>
      </c>
      <c r="W255" s="29" t="n">
        <f aca="false">D255/C255</f>
        <v>21.25</v>
      </c>
      <c r="X255" s="35"/>
      <c r="Y255" s="30" t="n">
        <v>10.7366254711055</v>
      </c>
      <c r="Z255" s="30" t="n">
        <v>10.7366254711055</v>
      </c>
      <c r="AA255" s="30" t="n">
        <v>14.3155006281407</v>
      </c>
      <c r="AB255" s="30" t="n">
        <v>30.3807320160804</v>
      </c>
      <c r="AD255" s="28" t="n">
        <v>1012</v>
      </c>
      <c r="AE255" s="30" t="n">
        <f aca="false">AD255*1000/C255/D255*145.038/SQRT(145.038*L255)</f>
        <v>11.5983267548694</v>
      </c>
      <c r="AF255" s="32" t="n">
        <f aca="false">AD255*1000/C255/D255</f>
        <v>7.44117647058824</v>
      </c>
    </row>
    <row r="256" customFormat="false" ht="25.5" hidden="false" customHeight="true" outlineLevel="0" collapsed="false">
      <c r="A256" s="40" t="s">
        <v>338</v>
      </c>
      <c r="B256" s="49" t="s">
        <v>339</v>
      </c>
      <c r="C256" s="13" t="n">
        <v>120</v>
      </c>
      <c r="D256" s="13" t="n">
        <v>1500</v>
      </c>
      <c r="E256" s="13" t="n">
        <v>750</v>
      </c>
      <c r="F256" s="13" t="n">
        <v>0.5</v>
      </c>
      <c r="G256" s="13" t="n">
        <v>0.5</v>
      </c>
      <c r="H256" s="13" t="n">
        <v>1</v>
      </c>
      <c r="I256" s="13" t="n">
        <v>1</v>
      </c>
      <c r="J256" s="13" t="n">
        <v>1</v>
      </c>
      <c r="K256" s="13" t="n">
        <v>0</v>
      </c>
      <c r="L256" s="13" t="n">
        <v>25.8</v>
      </c>
      <c r="M256" s="13" t="n">
        <v>5.15</v>
      </c>
      <c r="N256" s="13" t="n">
        <v>440</v>
      </c>
      <c r="O256" s="13" t="n">
        <v>0</v>
      </c>
      <c r="P256" s="13" t="n">
        <v>0.68</v>
      </c>
      <c r="Q256" s="13" t="n">
        <v>481</v>
      </c>
      <c r="R256" s="13" t="n">
        <v>0.68</v>
      </c>
      <c r="S256" s="13" t="n">
        <v>481</v>
      </c>
      <c r="U256" s="13"/>
      <c r="V256" s="28" t="n">
        <v>0.0866666666666667</v>
      </c>
      <c r="W256" s="29" t="n">
        <f aca="false">D256/C256</f>
        <v>12.5</v>
      </c>
      <c r="X256" s="35"/>
      <c r="Y256" s="30" t="n">
        <v>12.677519379845</v>
      </c>
      <c r="Z256" s="30" t="n">
        <v>12.677519379845</v>
      </c>
      <c r="AA256" s="30" t="n">
        <v>0</v>
      </c>
      <c r="AB256" s="30" t="n">
        <v>87.8294573643411</v>
      </c>
      <c r="AD256" s="53" t="n">
        <v>666.117</v>
      </c>
      <c r="AE256" s="30" t="n">
        <f aca="false">AD256*1000/C256/D256*145.038/SQRT(145.038*L256)</f>
        <v>8.77423093221748</v>
      </c>
      <c r="AF256" s="32" t="n">
        <f aca="false">AD256*1000/C256/D256</f>
        <v>3.70065</v>
      </c>
    </row>
    <row r="257" customFormat="false" ht="25.5" hidden="false" customHeight="true" outlineLevel="0" collapsed="false">
      <c r="A257" s="40"/>
      <c r="B257" s="49" t="s">
        <v>340</v>
      </c>
      <c r="C257" s="13" t="n">
        <v>120</v>
      </c>
      <c r="D257" s="13" t="n">
        <v>1500</v>
      </c>
      <c r="E257" s="13" t="n">
        <v>750</v>
      </c>
      <c r="F257" s="13" t="n">
        <v>0.5</v>
      </c>
      <c r="G257" s="13" t="n">
        <v>0.5</v>
      </c>
      <c r="H257" s="13" t="n">
        <v>1</v>
      </c>
      <c r="I257" s="13" t="n">
        <v>1</v>
      </c>
      <c r="J257" s="13" t="n">
        <v>1</v>
      </c>
      <c r="K257" s="13" t="n">
        <v>0</v>
      </c>
      <c r="L257" s="13" t="n">
        <v>29</v>
      </c>
      <c r="M257" s="13" t="n">
        <v>5.15</v>
      </c>
      <c r="N257" s="13" t="n">
        <v>473</v>
      </c>
      <c r="O257" s="13" t="n">
        <v>0</v>
      </c>
      <c r="P257" s="13" t="n">
        <v>0.68</v>
      </c>
      <c r="Q257" s="13" t="n">
        <v>584</v>
      </c>
      <c r="R257" s="13" t="n">
        <v>0.68</v>
      </c>
      <c r="S257" s="13" t="n">
        <v>584</v>
      </c>
      <c r="U257" s="13"/>
      <c r="V257" s="28" t="n">
        <v>0.0866666666666667</v>
      </c>
      <c r="W257" s="29" t="n">
        <f aca="false">D257/C257</f>
        <v>12.5</v>
      </c>
      <c r="X257" s="35"/>
      <c r="Y257" s="30" t="n">
        <v>13.6937931034483</v>
      </c>
      <c r="Z257" s="30" t="n">
        <v>13.6937931034483</v>
      </c>
      <c r="AA257" s="30" t="n">
        <v>0</v>
      </c>
      <c r="AB257" s="30" t="n">
        <v>83.998275862069</v>
      </c>
      <c r="AD257" s="53" t="n">
        <v>812.609</v>
      </c>
      <c r="AE257" s="30" t="n">
        <f aca="false">AD257*1000/C257/D257*145.038/SQRT(145.038*L257)</f>
        <v>10.0960391311211</v>
      </c>
      <c r="AF257" s="32" t="n">
        <f aca="false">AD257*1000/C257/D257</f>
        <v>4.51449444444444</v>
      </c>
    </row>
    <row r="258" customFormat="false" ht="25.5" hidden="false" customHeight="true" outlineLevel="0" collapsed="false">
      <c r="A258" s="40"/>
      <c r="B258" s="49" t="s">
        <v>341</v>
      </c>
      <c r="C258" s="13" t="n">
        <v>120</v>
      </c>
      <c r="D258" s="13" t="n">
        <v>1500</v>
      </c>
      <c r="E258" s="13" t="n">
        <v>750</v>
      </c>
      <c r="F258" s="13" t="n">
        <v>0.5</v>
      </c>
      <c r="G258" s="13" t="n">
        <v>0.5</v>
      </c>
      <c r="H258" s="13" t="n">
        <v>1</v>
      </c>
      <c r="I258" s="13" t="n">
        <v>1</v>
      </c>
      <c r="J258" s="13" t="n">
        <v>1</v>
      </c>
      <c r="K258" s="13" t="n">
        <v>0</v>
      </c>
      <c r="L258" s="13" t="n">
        <v>32.1</v>
      </c>
      <c r="M258" s="13" t="n">
        <v>0.65</v>
      </c>
      <c r="N258" s="13" t="n">
        <v>584</v>
      </c>
      <c r="O258" s="13" t="n">
        <v>0</v>
      </c>
      <c r="P258" s="13" t="n">
        <v>0.68</v>
      </c>
      <c r="Q258" s="13" t="n">
        <v>584</v>
      </c>
      <c r="R258" s="13" t="n">
        <v>0.68</v>
      </c>
      <c r="S258" s="13" t="n">
        <v>584</v>
      </c>
      <c r="U258" s="13"/>
      <c r="V258" s="28" t="n">
        <v>0.0533333333333333</v>
      </c>
      <c r="W258" s="29" t="n">
        <f aca="false">D258/C258</f>
        <v>12.5</v>
      </c>
      <c r="X258" s="35"/>
      <c r="Y258" s="30" t="n">
        <v>12.3713395638629</v>
      </c>
      <c r="Z258" s="30" t="n">
        <v>12.3713395638629</v>
      </c>
      <c r="AA258" s="30" t="n">
        <v>0</v>
      </c>
      <c r="AB258" s="30" t="n">
        <v>11.8255451713396</v>
      </c>
      <c r="AD258" s="53" t="n">
        <v>382.6885</v>
      </c>
      <c r="AE258" s="30" t="n">
        <f aca="false">AD258*1000/C258/D258*145.038/SQRT(145.038*L258)</f>
        <v>4.51919718847917</v>
      </c>
      <c r="AF258" s="32" t="n">
        <f aca="false">AD258*1000/C258/D258</f>
        <v>2.12604722222222</v>
      </c>
    </row>
    <row r="259" customFormat="false" ht="25.5" hidden="false" customHeight="true" outlineLevel="0" collapsed="false">
      <c r="A259" s="40"/>
      <c r="B259" s="49" t="s">
        <v>342</v>
      </c>
      <c r="C259" s="13" t="n">
        <v>120</v>
      </c>
      <c r="D259" s="13" t="n">
        <v>1500</v>
      </c>
      <c r="E259" s="13" t="n">
        <v>500</v>
      </c>
      <c r="F259" s="13" t="n">
        <v>0.33</v>
      </c>
      <c r="G259" s="13" t="n">
        <v>0.33</v>
      </c>
      <c r="H259" s="13" t="n">
        <v>1</v>
      </c>
      <c r="I259" s="13" t="n">
        <v>1</v>
      </c>
      <c r="J259" s="13" t="n">
        <v>1</v>
      </c>
      <c r="K259" s="13" t="n">
        <v>0</v>
      </c>
      <c r="L259" s="13" t="n">
        <v>34.8</v>
      </c>
      <c r="M259" s="13" t="n">
        <v>3.95</v>
      </c>
      <c r="N259" s="13" t="n">
        <v>519</v>
      </c>
      <c r="O259" s="13" t="n">
        <v>0</v>
      </c>
      <c r="P259" s="13" t="n">
        <v>0.68</v>
      </c>
      <c r="Q259" s="13" t="n">
        <v>584</v>
      </c>
      <c r="R259" s="13" t="n">
        <v>0.68</v>
      </c>
      <c r="S259" s="13" t="n">
        <v>584</v>
      </c>
      <c r="U259" s="13"/>
      <c r="V259" s="28" t="n">
        <v>0.0866666666666667</v>
      </c>
      <c r="W259" s="29" t="n">
        <f aca="false">D259/C259</f>
        <v>12.5</v>
      </c>
      <c r="X259" s="35"/>
      <c r="Y259" s="30" t="n">
        <v>11.4114942528736</v>
      </c>
      <c r="Z259" s="30" t="n">
        <v>11.4114942528736</v>
      </c>
      <c r="AA259" s="30" t="n">
        <v>0</v>
      </c>
      <c r="AB259" s="30" t="n">
        <v>58.9094827586207</v>
      </c>
      <c r="AD259" s="53" t="n">
        <v>939.425</v>
      </c>
      <c r="AE259" s="30" t="n">
        <f aca="false">AD259*1000/C259/D259*145.038/SQRT(145.038*L259)</f>
        <v>10.6546916984694</v>
      </c>
      <c r="AF259" s="32" t="n">
        <f aca="false">AD259*1000/C259/D259</f>
        <v>5.21902777777778</v>
      </c>
    </row>
    <row r="260" customFormat="false" ht="25.5" hidden="false" customHeight="true" outlineLevel="0" collapsed="false">
      <c r="A260" s="40"/>
      <c r="B260" s="49" t="s">
        <v>343</v>
      </c>
      <c r="C260" s="13" t="n">
        <v>120</v>
      </c>
      <c r="D260" s="13" t="n">
        <v>1500</v>
      </c>
      <c r="E260" s="13" t="n">
        <v>1500</v>
      </c>
      <c r="F260" s="13" t="n">
        <v>1</v>
      </c>
      <c r="G260" s="13" t="n">
        <v>1</v>
      </c>
      <c r="H260" s="13" t="n">
        <v>1</v>
      </c>
      <c r="I260" s="13" t="n">
        <v>1</v>
      </c>
      <c r="J260" s="13" t="n">
        <v>1</v>
      </c>
      <c r="K260" s="13" t="n">
        <v>0</v>
      </c>
      <c r="L260" s="13" t="n">
        <v>35</v>
      </c>
      <c r="M260" s="13" t="n">
        <v>9.75</v>
      </c>
      <c r="N260" s="13" t="n">
        <v>528</v>
      </c>
      <c r="O260" s="13" t="n">
        <v>0</v>
      </c>
      <c r="P260" s="13" t="n">
        <v>0.68</v>
      </c>
      <c r="Q260" s="13" t="n">
        <v>584</v>
      </c>
      <c r="R260" s="13" t="n">
        <v>0.34</v>
      </c>
      <c r="S260" s="13" t="n">
        <v>584</v>
      </c>
      <c r="U260" s="13"/>
      <c r="V260" s="28" t="n">
        <v>0.0866666666666667</v>
      </c>
      <c r="W260" s="29" t="n">
        <f aca="false">D260/C260</f>
        <v>12.5</v>
      </c>
      <c r="X260" s="35"/>
      <c r="Y260" s="30" t="n">
        <v>5.67314285714286</v>
      </c>
      <c r="Z260" s="30" t="n">
        <v>11.3462857142857</v>
      </c>
      <c r="AA260" s="30" t="n">
        <v>0</v>
      </c>
      <c r="AB260" s="30" t="n">
        <v>147.085714285714</v>
      </c>
      <c r="AD260" s="53" t="n">
        <v>708.7875</v>
      </c>
      <c r="AE260" s="30" t="n">
        <f aca="false">AD260*1000/C260/D260*145.038/SQRT(145.038*L260)</f>
        <v>8.01586554269772</v>
      </c>
      <c r="AF260" s="32" t="n">
        <f aca="false">AD260*1000/C260/D260</f>
        <v>3.93770833333333</v>
      </c>
    </row>
    <row r="261" customFormat="false" ht="25.5" hidden="false" customHeight="true" outlineLevel="0" collapsed="false">
      <c r="A261" s="40"/>
      <c r="B261" s="49" t="s">
        <v>344</v>
      </c>
      <c r="C261" s="13" t="n">
        <v>120</v>
      </c>
      <c r="D261" s="13" t="n">
        <v>1500</v>
      </c>
      <c r="E261" s="13" t="n">
        <v>1500</v>
      </c>
      <c r="F261" s="13" t="n">
        <v>1</v>
      </c>
      <c r="G261" s="13" t="n">
        <v>1</v>
      </c>
      <c r="H261" s="13" t="n">
        <v>1</v>
      </c>
      <c r="I261" s="13" t="n">
        <v>1</v>
      </c>
      <c r="J261" s="13" t="n">
        <v>1</v>
      </c>
      <c r="K261" s="13" t="n">
        <v>0</v>
      </c>
      <c r="L261" s="13" t="n">
        <v>22.6</v>
      </c>
      <c r="M261" s="13" t="n">
        <v>9.75</v>
      </c>
      <c r="N261" s="13" t="n">
        <v>528</v>
      </c>
      <c r="O261" s="13" t="n">
        <v>0</v>
      </c>
      <c r="P261" s="13" t="n">
        <v>0.68</v>
      </c>
      <c r="Q261" s="13" t="n">
        <v>584</v>
      </c>
      <c r="R261" s="13" t="n">
        <v>0.68</v>
      </c>
      <c r="S261" s="13" t="n">
        <v>584</v>
      </c>
      <c r="U261" s="13"/>
      <c r="V261" s="28" t="n">
        <v>0.0866666666666667</v>
      </c>
      <c r="W261" s="29" t="n">
        <f aca="false">D261/C261</f>
        <v>12.5</v>
      </c>
      <c r="X261" s="35"/>
      <c r="Y261" s="30" t="n">
        <v>17.5716814159292</v>
      </c>
      <c r="Z261" s="30" t="n">
        <v>17.5716814159292</v>
      </c>
      <c r="AA261" s="30" t="n">
        <v>0</v>
      </c>
      <c r="AB261" s="30" t="n">
        <v>227.787610619469</v>
      </c>
      <c r="AD261" s="53" t="n">
        <v>735.69</v>
      </c>
      <c r="AE261" s="30" t="n">
        <f aca="false">AD261*1000/C261/D261*145.038/SQRT(145.038*L261)</f>
        <v>10.3540207118089</v>
      </c>
      <c r="AF261" s="32" t="n">
        <f aca="false">AD261*1000/C261/D261</f>
        <v>4.08716666666667</v>
      </c>
    </row>
    <row r="262" customFormat="false" ht="25.5" hidden="false" customHeight="true" outlineLevel="0" collapsed="false">
      <c r="A262" s="40"/>
      <c r="B262" s="49" t="s">
        <v>345</v>
      </c>
      <c r="C262" s="13" t="n">
        <v>120</v>
      </c>
      <c r="D262" s="13" t="n">
        <v>1500</v>
      </c>
      <c r="E262" s="13" t="n">
        <v>750</v>
      </c>
      <c r="F262" s="13" t="n">
        <v>0.5</v>
      </c>
      <c r="G262" s="13" t="n">
        <v>0.5</v>
      </c>
      <c r="H262" s="13" t="n">
        <v>1</v>
      </c>
      <c r="I262" s="13" t="n">
        <v>1</v>
      </c>
      <c r="J262" s="13" t="n">
        <v>1</v>
      </c>
      <c r="K262" s="13" t="n">
        <v>0</v>
      </c>
      <c r="L262" s="13" t="n">
        <v>24</v>
      </c>
      <c r="M262" s="20" t="n">
        <v>2.59993874779845</v>
      </c>
      <c r="N262" s="13" t="n">
        <v>473</v>
      </c>
      <c r="O262" s="20" t="n">
        <v>1.11701072127637</v>
      </c>
      <c r="P262" s="13" t="n">
        <v>0.34</v>
      </c>
      <c r="Q262" s="13" t="n">
        <v>584</v>
      </c>
      <c r="R262" s="13" t="n">
        <v>0.273181969877373</v>
      </c>
      <c r="S262" s="13" t="n">
        <v>584</v>
      </c>
      <c r="U262" s="13"/>
      <c r="V262" s="28" t="n">
        <v>0.193333333333333</v>
      </c>
      <c r="W262" s="29" t="n">
        <f aca="false">D262/C262</f>
        <v>12.5</v>
      </c>
      <c r="X262" s="35"/>
      <c r="Y262" s="30" t="n">
        <v>6.64742793368275</v>
      </c>
      <c r="Z262" s="30" t="n">
        <v>8.27333333333333</v>
      </c>
      <c r="AA262" s="30" t="n">
        <v>27.180594217725</v>
      </c>
      <c r="AB262" s="30" t="n">
        <v>51.2404594878611</v>
      </c>
      <c r="AD262" s="53" t="n">
        <v>562.695</v>
      </c>
      <c r="AE262" s="30" t="n">
        <f aca="false">AD262*1000/C262/D262*145.038/SQRT(145.038*L262)</f>
        <v>7.68485772231451</v>
      </c>
      <c r="AF262" s="32" t="n">
        <f aca="false">AD262*1000/C262/D262</f>
        <v>3.12608333333333</v>
      </c>
    </row>
    <row r="263" customFormat="false" ht="25.5" hidden="false" customHeight="true" outlineLevel="0" collapsed="false">
      <c r="A263" s="40"/>
      <c r="B263" s="49" t="s">
        <v>346</v>
      </c>
      <c r="C263" s="13" t="n">
        <v>120</v>
      </c>
      <c r="D263" s="13" t="n">
        <v>1500</v>
      </c>
      <c r="E263" s="13" t="n">
        <v>750</v>
      </c>
      <c r="F263" s="13" t="n">
        <v>0.5</v>
      </c>
      <c r="G263" s="13" t="n">
        <v>0.5</v>
      </c>
      <c r="H263" s="13" t="n">
        <v>1</v>
      </c>
      <c r="I263" s="13" t="n">
        <v>1</v>
      </c>
      <c r="J263" s="13" t="n">
        <v>1</v>
      </c>
      <c r="K263" s="13" t="n">
        <v>0.05</v>
      </c>
      <c r="L263" s="13" t="n">
        <v>26.3</v>
      </c>
      <c r="M263" s="20" t="n">
        <v>5.15</v>
      </c>
      <c r="N263" s="13" t="n">
        <v>473</v>
      </c>
      <c r="O263" s="13" t="n">
        <v>0</v>
      </c>
      <c r="P263" s="13" t="n">
        <v>0.34</v>
      </c>
      <c r="Q263" s="13" t="n">
        <v>584</v>
      </c>
      <c r="R263" s="13" t="n">
        <v>0.25</v>
      </c>
      <c r="S263" s="13" t="n">
        <v>584</v>
      </c>
      <c r="U263" s="13"/>
      <c r="V263" s="28" t="n">
        <v>0.0866666666666667</v>
      </c>
      <c r="W263" s="29" t="n">
        <f aca="false">D263/C263</f>
        <v>12.5</v>
      </c>
      <c r="X263" s="35"/>
      <c r="Y263" s="30" t="n">
        <v>5.55133079847909</v>
      </c>
      <c r="Z263" s="30" t="n">
        <v>7.54980988593156</v>
      </c>
      <c r="AA263" s="30" t="n">
        <v>0</v>
      </c>
      <c r="AB263" s="30" t="n">
        <v>92.6216730038023</v>
      </c>
      <c r="AD263" s="53" t="n">
        <v>788.7</v>
      </c>
      <c r="AE263" s="30" t="n">
        <f aca="false">AD263*1000/C263/D263*145.038/SQRT(145.038*L263)</f>
        <v>10.2896917018324</v>
      </c>
      <c r="AF263" s="32" t="n">
        <f aca="false">AD263*1000/C263/D263</f>
        <v>4.38166666666667</v>
      </c>
    </row>
    <row r="264" customFormat="false" ht="25.5" hidden="false" customHeight="true" outlineLevel="0" collapsed="false">
      <c r="A264" s="40"/>
      <c r="B264" s="49" t="s">
        <v>347</v>
      </c>
      <c r="C264" s="13" t="n">
        <v>120</v>
      </c>
      <c r="D264" s="13" t="n">
        <v>1500</v>
      </c>
      <c r="E264" s="13" t="n">
        <v>750</v>
      </c>
      <c r="F264" s="13" t="n">
        <v>0.5</v>
      </c>
      <c r="G264" s="13" t="n">
        <v>0.5</v>
      </c>
      <c r="H264" s="13" t="n">
        <v>1</v>
      </c>
      <c r="I264" s="13" t="n">
        <v>1</v>
      </c>
      <c r="J264" s="13" t="n">
        <v>1</v>
      </c>
      <c r="K264" s="13" t="n">
        <v>0.1</v>
      </c>
      <c r="L264" s="13" t="n">
        <v>27</v>
      </c>
      <c r="M264" s="20" t="n">
        <v>5.15</v>
      </c>
      <c r="N264" s="13" t="n">
        <v>473</v>
      </c>
      <c r="O264" s="13" t="n">
        <v>0</v>
      </c>
      <c r="P264" s="13" t="n">
        <v>0.34</v>
      </c>
      <c r="Q264" s="13" t="n">
        <v>584</v>
      </c>
      <c r="R264" s="13" t="n">
        <v>0.34</v>
      </c>
      <c r="S264" s="13" t="n">
        <v>584</v>
      </c>
      <c r="U264" s="13"/>
      <c r="V264" s="28" t="n">
        <v>0.0866666666666667</v>
      </c>
      <c r="W264" s="29" t="n">
        <f aca="false">D264/C264</f>
        <v>12.5</v>
      </c>
      <c r="X264" s="35"/>
      <c r="Y264" s="30" t="n">
        <v>7.35407407407407</v>
      </c>
      <c r="Z264" s="30" t="n">
        <v>7.35407407407407</v>
      </c>
      <c r="AA264" s="30" t="n">
        <v>0</v>
      </c>
      <c r="AB264" s="30" t="n">
        <v>90.2203703703704</v>
      </c>
      <c r="AD264" s="53" t="n">
        <v>865</v>
      </c>
      <c r="AE264" s="30" t="n">
        <f aca="false">AD264*1000/C264/D264*145.038/SQRT(145.038*L264)</f>
        <v>11.137882231844</v>
      </c>
      <c r="AF264" s="32" t="n">
        <f aca="false">AD264*1000/C264/D264</f>
        <v>4.80555555555556</v>
      </c>
    </row>
    <row r="265" customFormat="false" ht="25.5" hidden="false" customHeight="true" outlineLevel="0" collapsed="false">
      <c r="A265" s="40"/>
      <c r="B265" s="49" t="s">
        <v>348</v>
      </c>
      <c r="C265" s="13" t="n">
        <v>120</v>
      </c>
      <c r="D265" s="13" t="n">
        <v>1500</v>
      </c>
      <c r="E265" s="13" t="n">
        <v>750</v>
      </c>
      <c r="F265" s="13" t="n">
        <v>0.5</v>
      </c>
      <c r="G265" s="13" t="n">
        <v>0.5</v>
      </c>
      <c r="H265" s="13" t="n">
        <v>1</v>
      </c>
      <c r="I265" s="13" t="n">
        <v>1</v>
      </c>
      <c r="J265" s="13" t="n">
        <v>1</v>
      </c>
      <c r="K265" s="13" t="n">
        <v>0</v>
      </c>
      <c r="L265" s="13" t="n">
        <v>23.7</v>
      </c>
      <c r="M265" s="20" t="n">
        <v>5.15</v>
      </c>
      <c r="N265" s="13" t="n">
        <v>440</v>
      </c>
      <c r="O265" s="13" t="n">
        <v>0</v>
      </c>
      <c r="P265" s="13" t="n">
        <v>0.34</v>
      </c>
      <c r="Q265" s="13" t="n">
        <v>481</v>
      </c>
      <c r="R265" s="13" t="n">
        <v>0.34</v>
      </c>
      <c r="S265" s="13" t="n">
        <v>481</v>
      </c>
      <c r="U265" s="13"/>
      <c r="V265" s="28" t="n">
        <v>0.0866666666666667</v>
      </c>
      <c r="W265" s="29" t="n">
        <f aca="false">D265/C265</f>
        <v>12.5</v>
      </c>
      <c r="X265" s="35"/>
      <c r="Y265" s="30" t="n">
        <v>6.90042194092827</v>
      </c>
      <c r="Z265" s="30" t="n">
        <v>6.90042194092827</v>
      </c>
      <c r="AA265" s="30" t="n">
        <v>0</v>
      </c>
      <c r="AB265" s="30" t="n">
        <v>95.6118143459916</v>
      </c>
      <c r="AD265" s="53" t="n">
        <v>634.4465</v>
      </c>
      <c r="AE265" s="30" t="n">
        <f aca="false">AD265*1000/C265/D265*145.038/SQRT(145.038*L265)</f>
        <v>8.71945275767132</v>
      </c>
      <c r="AF265" s="32" t="n">
        <f aca="false">AD265*1000/C265/D265</f>
        <v>3.52470277777778</v>
      </c>
    </row>
    <row r="266" customFormat="false" ht="25.5" hidden="false" customHeight="true" outlineLevel="0" collapsed="false">
      <c r="A266" s="33" t="s">
        <v>349</v>
      </c>
      <c r="B266" s="34" t="s">
        <v>350</v>
      </c>
      <c r="C266" s="26" t="n">
        <v>100</v>
      </c>
      <c r="D266" s="26" t="n">
        <v>600</v>
      </c>
      <c r="E266" s="26" t="n">
        <v>850</v>
      </c>
      <c r="F266" s="20" t="n">
        <v>1.42</v>
      </c>
      <c r="G266" s="20" t="n">
        <v>1.41666666666667</v>
      </c>
      <c r="H266" s="26" t="n">
        <v>1</v>
      </c>
      <c r="I266" s="26" t="n">
        <v>1</v>
      </c>
      <c r="J266" s="26" t="n">
        <v>1</v>
      </c>
      <c r="K266" s="20" t="n">
        <v>0</v>
      </c>
      <c r="L266" s="20" t="n">
        <v>16.5</v>
      </c>
      <c r="M266" s="20" t="n">
        <v>0</v>
      </c>
      <c r="N266" s="20" t="n">
        <v>0</v>
      </c>
      <c r="O266" s="20" t="n">
        <v>0</v>
      </c>
      <c r="P266" s="20" t="n">
        <v>0.73</v>
      </c>
      <c r="Q266" s="20" t="n">
        <v>461</v>
      </c>
      <c r="R266" s="20" t="n">
        <v>3.29</v>
      </c>
      <c r="S266" s="20" t="n">
        <v>461</v>
      </c>
      <c r="U266" s="35"/>
      <c r="V266" s="28" t="n">
        <v>0.0833333333333333</v>
      </c>
      <c r="W266" s="29" t="n">
        <f aca="false">D266/C266</f>
        <v>6</v>
      </c>
      <c r="X266" s="35"/>
      <c r="Y266" s="30" t="n">
        <v>91.9206060606061</v>
      </c>
      <c r="Z266" s="30" t="n">
        <v>20.3957575757576</v>
      </c>
      <c r="AA266" s="30" t="n">
        <v>0</v>
      </c>
      <c r="AB266" s="30" t="n">
        <v>0</v>
      </c>
      <c r="AD266" s="28" t="n">
        <v>157.3</v>
      </c>
      <c r="AE266" s="30" t="n">
        <f aca="false">AD266*1000/C266/D266*145.038/SQRT(145.038*L266)</f>
        <v>7.77278045989836</v>
      </c>
      <c r="AF266" s="32" t="n">
        <f aca="false">AD266*1000/C266/D266</f>
        <v>2.62166666666667</v>
      </c>
    </row>
    <row r="267" customFormat="false" ht="25.5" hidden="false" customHeight="true" outlineLevel="0" collapsed="false">
      <c r="A267" s="33"/>
      <c r="B267" s="34" t="s">
        <v>351</v>
      </c>
      <c r="C267" s="26" t="n">
        <v>100</v>
      </c>
      <c r="D267" s="26" t="n">
        <v>585</v>
      </c>
      <c r="E267" s="26" t="n">
        <v>700</v>
      </c>
      <c r="F267" s="20" t="n">
        <v>1.2</v>
      </c>
      <c r="G267" s="20" t="n">
        <v>1.1965811965812</v>
      </c>
      <c r="H267" s="26" t="n">
        <v>1</v>
      </c>
      <c r="I267" s="26" t="n">
        <v>1</v>
      </c>
      <c r="J267" s="26" t="n">
        <v>1</v>
      </c>
      <c r="K267" s="20" t="n">
        <v>0</v>
      </c>
      <c r="L267" s="20" t="n">
        <v>37</v>
      </c>
      <c r="M267" s="20" t="n">
        <v>0</v>
      </c>
      <c r="N267" s="20" t="n">
        <v>0</v>
      </c>
      <c r="O267" s="20" t="n">
        <v>0</v>
      </c>
      <c r="P267" s="20" t="n">
        <v>0.26</v>
      </c>
      <c r="Q267" s="20" t="n">
        <v>607.8</v>
      </c>
      <c r="R267" s="20" t="n">
        <v>0.33</v>
      </c>
      <c r="S267" s="20" t="n">
        <v>607.8</v>
      </c>
      <c r="U267" s="35"/>
      <c r="V267" s="28" t="n">
        <v>0.341880341880342</v>
      </c>
      <c r="W267" s="29" t="n">
        <f aca="false">D267/C267</f>
        <v>5.85</v>
      </c>
      <c r="X267" s="35"/>
      <c r="Y267" s="30" t="n">
        <v>5.42091891891892</v>
      </c>
      <c r="Z267" s="30" t="n">
        <v>4.27102702702703</v>
      </c>
      <c r="AA267" s="30" t="n">
        <v>0</v>
      </c>
      <c r="AB267" s="30" t="n">
        <v>0</v>
      </c>
      <c r="AD267" s="28" t="n">
        <v>141.55397524414</v>
      </c>
      <c r="AE267" s="30" t="n">
        <f aca="false">AD267*1000/C267/D267*145.038/SQRT(145.038*L267)</f>
        <v>4.79078016954508</v>
      </c>
      <c r="AF267" s="32" t="n">
        <f aca="false">AD267*1000/C267/D267</f>
        <v>2.41972607254939</v>
      </c>
    </row>
    <row r="268" customFormat="false" ht="25.5" hidden="false" customHeight="true" outlineLevel="0" collapsed="false">
      <c r="A268" s="33"/>
      <c r="B268" s="34" t="s">
        <v>352</v>
      </c>
      <c r="C268" s="26" t="n">
        <v>125</v>
      </c>
      <c r="D268" s="26" t="n">
        <v>500</v>
      </c>
      <c r="E268" s="26" t="n">
        <v>600</v>
      </c>
      <c r="F268" s="20" t="n">
        <v>1.2</v>
      </c>
      <c r="G268" s="20" t="n">
        <v>1.2</v>
      </c>
      <c r="H268" s="26" t="n">
        <v>1</v>
      </c>
      <c r="I268" s="26" t="n">
        <v>1</v>
      </c>
      <c r="J268" s="26" t="n">
        <v>1</v>
      </c>
      <c r="K268" s="20" t="n">
        <v>0</v>
      </c>
      <c r="L268" s="20" t="n">
        <v>16.7</v>
      </c>
      <c r="M268" s="20" t="n">
        <v>0</v>
      </c>
      <c r="N268" s="20" t="n">
        <v>0</v>
      </c>
      <c r="O268" s="20" t="n">
        <v>0</v>
      </c>
      <c r="P268" s="20" t="n">
        <v>0.5</v>
      </c>
      <c r="Q268" s="20" t="n">
        <v>389.3</v>
      </c>
      <c r="R268" s="20" t="n">
        <v>6.25</v>
      </c>
      <c r="S268" s="20" t="n">
        <v>389.3</v>
      </c>
      <c r="U268" s="35"/>
      <c r="V268" s="28" t="n">
        <v>0</v>
      </c>
      <c r="W268" s="29" t="n">
        <f aca="false">D268/C268</f>
        <v>4</v>
      </c>
      <c r="X268" s="35"/>
      <c r="Y268" s="30" t="n">
        <v>145.696107784431</v>
      </c>
      <c r="Z268" s="30" t="n">
        <v>11.6556886227545</v>
      </c>
      <c r="AA268" s="30" t="n">
        <v>0</v>
      </c>
      <c r="AB268" s="30" t="n">
        <v>0</v>
      </c>
      <c r="AD268" s="28" t="n">
        <v>169.96</v>
      </c>
      <c r="AE268" s="30" t="n">
        <f aca="false">AD268*1000/C268/D268*145.038/SQRT(145.038*L268)</f>
        <v>8.01400060189115</v>
      </c>
      <c r="AF268" s="32" t="n">
        <f aca="false">AD268*1000/C268/D268</f>
        <v>2.71936</v>
      </c>
    </row>
    <row r="269" customFormat="false" ht="25.5" hidden="false" customHeight="true" outlineLevel="0" collapsed="false">
      <c r="A269" s="33" t="s">
        <v>353</v>
      </c>
      <c r="B269" s="34" t="s">
        <v>354</v>
      </c>
      <c r="C269" s="26" t="n">
        <v>152</v>
      </c>
      <c r="D269" s="26" t="n">
        <v>1219</v>
      </c>
      <c r="E269" s="26" t="n">
        <v>2438</v>
      </c>
      <c r="F269" s="20" t="n">
        <v>2</v>
      </c>
      <c r="G269" s="20" t="n">
        <v>2</v>
      </c>
      <c r="H269" s="26" t="n">
        <v>1</v>
      </c>
      <c r="I269" s="26" t="n">
        <v>2</v>
      </c>
      <c r="J269" s="26" t="n">
        <v>1</v>
      </c>
      <c r="K269" s="20" t="n">
        <v>0.073</v>
      </c>
      <c r="L269" s="20" t="n">
        <v>47.1</v>
      </c>
      <c r="M269" s="20" t="n">
        <v>3.04906917949897</v>
      </c>
      <c r="N269" s="20" t="n">
        <v>472.7</v>
      </c>
      <c r="O269" s="29" t="n">
        <v>0.832977960526316</v>
      </c>
      <c r="P269" s="20" t="n">
        <v>0.265601503759399</v>
      </c>
      <c r="Q269" s="20" t="n">
        <v>450.2</v>
      </c>
      <c r="R269" s="20" t="n">
        <v>0.2925</v>
      </c>
      <c r="S269" s="20" t="n">
        <v>450.2</v>
      </c>
      <c r="U269" s="35"/>
      <c r="V269" s="28" t="n">
        <v>0.18785890073831</v>
      </c>
      <c r="W269" s="29" t="n">
        <f aca="false">D269/C269</f>
        <v>8.01973684210526</v>
      </c>
      <c r="X269" s="35"/>
      <c r="Y269" s="30" t="n">
        <v>2.79582802547771</v>
      </c>
      <c r="Z269" s="30" t="n">
        <v>2.53872180451128</v>
      </c>
      <c r="AA269" s="30" t="n">
        <v>7.48795899122807</v>
      </c>
      <c r="AB269" s="30" t="n">
        <v>30.600743124186</v>
      </c>
      <c r="AD269" s="28" t="n">
        <v>458.5</v>
      </c>
      <c r="AE269" s="30" t="n">
        <f aca="false">AD269*1000/C269/D269*145.038/SQRT(145.038*L269)</f>
        <v>4.34232669095194</v>
      </c>
      <c r="AF269" s="32" t="n">
        <f aca="false">AD269*1000/C269/D269</f>
        <v>2.47452614308536</v>
      </c>
    </row>
    <row r="270" customFormat="false" ht="25.5" hidden="false" customHeight="true" outlineLevel="0" collapsed="false">
      <c r="A270" s="33"/>
      <c r="B270" s="34" t="s">
        <v>355</v>
      </c>
      <c r="C270" s="26" t="n">
        <v>152</v>
      </c>
      <c r="D270" s="26" t="n">
        <v>1219</v>
      </c>
      <c r="E270" s="26" t="n">
        <v>2438</v>
      </c>
      <c r="F270" s="20" t="n">
        <v>2</v>
      </c>
      <c r="G270" s="20" t="n">
        <v>2</v>
      </c>
      <c r="H270" s="26" t="n">
        <v>1</v>
      </c>
      <c r="I270" s="26" t="n">
        <v>2</v>
      </c>
      <c r="J270" s="26" t="n">
        <v>1</v>
      </c>
      <c r="K270" s="20" t="n">
        <v>0.073</v>
      </c>
      <c r="L270" s="20" t="n">
        <v>48.6</v>
      </c>
      <c r="M270" s="20" t="n">
        <v>6.51310043668122</v>
      </c>
      <c r="N270" s="20" t="n">
        <v>477.2</v>
      </c>
      <c r="O270" s="29" t="n">
        <v>0.832977960526316</v>
      </c>
      <c r="P270" s="20" t="n">
        <v>0.61328125</v>
      </c>
      <c r="Q270" s="20" t="n">
        <v>443.3</v>
      </c>
      <c r="R270" s="20" t="n">
        <v>0.61328125</v>
      </c>
      <c r="S270" s="20" t="n">
        <v>443.3</v>
      </c>
      <c r="U270" s="35"/>
      <c r="V270" s="28" t="n">
        <v>0.18785890073831</v>
      </c>
      <c r="W270" s="29" t="n">
        <f aca="false">D270/C270</f>
        <v>8.01973684210526</v>
      </c>
      <c r="X270" s="35"/>
      <c r="Y270" s="30" t="n">
        <v>5.59398308899177</v>
      </c>
      <c r="Z270" s="30" t="n">
        <v>5.59398308899177</v>
      </c>
      <c r="AA270" s="30" t="n">
        <v>7.2568491458198</v>
      </c>
      <c r="AB270" s="30" t="n">
        <v>63.9516775387712</v>
      </c>
      <c r="AD270" s="28" t="n">
        <v>742</v>
      </c>
      <c r="AE270" s="30" t="n">
        <f aca="false">AD270*1000/C270/D270*145.038/SQRT(145.038*L270)</f>
        <v>6.91798121336481</v>
      </c>
      <c r="AF270" s="32" t="n">
        <f aca="false">AD270*1000/C270/D270</f>
        <v>4.0045766590389</v>
      </c>
    </row>
    <row r="271" customFormat="false" ht="25.5" hidden="false" customHeight="true" outlineLevel="0" collapsed="false">
      <c r="A271" s="33"/>
      <c r="B271" s="34" t="s">
        <v>356</v>
      </c>
      <c r="C271" s="26" t="n">
        <v>152</v>
      </c>
      <c r="D271" s="26" t="n">
        <v>1219</v>
      </c>
      <c r="E271" s="26" t="n">
        <v>1829</v>
      </c>
      <c r="F271" s="20" t="n">
        <v>1.5</v>
      </c>
      <c r="G271" s="20" t="n">
        <v>1.50041017227235</v>
      </c>
      <c r="H271" s="26" t="n">
        <v>1</v>
      </c>
      <c r="I271" s="26" t="n">
        <v>2</v>
      </c>
      <c r="J271" s="26" t="n">
        <v>1</v>
      </c>
      <c r="K271" s="20" t="n">
        <v>0.077</v>
      </c>
      <c r="L271" s="20" t="n">
        <v>48.7</v>
      </c>
      <c r="M271" s="20" t="n">
        <v>3.04906917949897</v>
      </c>
      <c r="N271" s="20" t="n">
        <v>472.7</v>
      </c>
      <c r="O271" s="29" t="n">
        <v>0.832977960526316</v>
      </c>
      <c r="P271" s="20" t="n">
        <v>0.32617728531856</v>
      </c>
      <c r="Q271" s="20" t="n">
        <v>450.2</v>
      </c>
      <c r="R271" s="20" t="n">
        <v>0.3412</v>
      </c>
      <c r="S271" s="20" t="n">
        <v>450.2</v>
      </c>
      <c r="U271" s="35"/>
      <c r="V271" s="28" t="n">
        <v>0.18785890073831</v>
      </c>
      <c r="W271" s="29" t="n">
        <f aca="false">D271/C271</f>
        <v>8.01973684210526</v>
      </c>
      <c r="X271" s="35"/>
      <c r="Y271" s="30" t="n">
        <v>3.15417330595483</v>
      </c>
      <c r="Z271" s="30" t="n">
        <v>3.01529802567588</v>
      </c>
      <c r="AA271" s="30" t="n">
        <v>7.24194801821031</v>
      </c>
      <c r="AB271" s="30" t="n">
        <v>29.5953799003935</v>
      </c>
      <c r="AD271" s="28" t="n">
        <v>589</v>
      </c>
      <c r="AE271" s="30" t="n">
        <f aca="false">AD271*1000/C271/D271*145.038/SQRT(145.038*L271)</f>
        <v>5.4858562317768</v>
      </c>
      <c r="AF271" s="32" t="n">
        <f aca="false">AD271*1000/C271/D271</f>
        <v>3.17883511074651</v>
      </c>
    </row>
    <row r="272" customFormat="false" ht="25.5" hidden="false" customHeight="true" outlineLevel="0" collapsed="false">
      <c r="A272" s="33"/>
      <c r="B272" s="34" t="s">
        <v>357</v>
      </c>
      <c r="C272" s="26" t="n">
        <v>152</v>
      </c>
      <c r="D272" s="26" t="n">
        <v>1219</v>
      </c>
      <c r="E272" s="26" t="n">
        <v>1829</v>
      </c>
      <c r="F272" s="20" t="n">
        <v>1.5</v>
      </c>
      <c r="G272" s="20" t="n">
        <v>1.50041017227235</v>
      </c>
      <c r="H272" s="26" t="n">
        <v>1</v>
      </c>
      <c r="I272" s="26" t="n">
        <v>2</v>
      </c>
      <c r="J272" s="26" t="n">
        <v>1</v>
      </c>
      <c r="K272" s="20" t="n">
        <v>0.064</v>
      </c>
      <c r="L272" s="20" t="n">
        <v>55.8</v>
      </c>
      <c r="M272" s="20" t="n">
        <v>5.57</v>
      </c>
      <c r="N272" s="20" t="n">
        <v>474.6</v>
      </c>
      <c r="O272" s="29" t="n">
        <v>0.832977960526316</v>
      </c>
      <c r="P272" s="20" t="n">
        <v>0.734005905511811</v>
      </c>
      <c r="Q272" s="20" t="n">
        <v>443.3</v>
      </c>
      <c r="R272" s="20" t="n">
        <v>0.734005905511811</v>
      </c>
      <c r="S272" s="20" t="n">
        <v>443.3</v>
      </c>
      <c r="U272" s="35"/>
      <c r="V272" s="28" t="n">
        <v>0.18785890073831</v>
      </c>
      <c r="W272" s="29" t="n">
        <f aca="false">D272/C272</f>
        <v>8.01973684210526</v>
      </c>
      <c r="X272" s="35"/>
      <c r="Y272" s="30" t="n">
        <v>5.83126913823272</v>
      </c>
      <c r="Z272" s="30" t="n">
        <v>5.83126913823272</v>
      </c>
      <c r="AA272" s="30" t="n">
        <v>6.32048151410111</v>
      </c>
      <c r="AB272" s="30" t="n">
        <v>47.3749462365592</v>
      </c>
      <c r="AD272" s="28" t="n">
        <v>841</v>
      </c>
      <c r="AE272" s="30" t="n">
        <f aca="false">AD272*1000/C272/D272*145.038/SQRT(145.038*L272)</f>
        <v>7.31766466664793</v>
      </c>
      <c r="AF272" s="32" t="n">
        <f aca="false">AD272*1000/C272/D272</f>
        <v>4.53888001381633</v>
      </c>
    </row>
    <row r="273" customFormat="false" ht="25.5" hidden="false" customHeight="true" outlineLevel="0" collapsed="false">
      <c r="A273" s="33"/>
      <c r="B273" s="34" t="s">
        <v>358</v>
      </c>
      <c r="C273" s="26" t="n">
        <v>152</v>
      </c>
      <c r="D273" s="26" t="n">
        <v>1219</v>
      </c>
      <c r="E273" s="26" t="n">
        <v>1829</v>
      </c>
      <c r="F273" s="20" t="n">
        <v>1.5</v>
      </c>
      <c r="G273" s="20" t="n">
        <v>1.50041017227235</v>
      </c>
      <c r="H273" s="26" t="n">
        <v>1</v>
      </c>
      <c r="I273" s="26" t="n">
        <v>2</v>
      </c>
      <c r="J273" s="26" t="n">
        <v>1</v>
      </c>
      <c r="K273" s="20" t="n">
        <v>0.016</v>
      </c>
      <c r="L273" s="20" t="n">
        <v>57.5</v>
      </c>
      <c r="M273" s="20" t="n">
        <v>5.57</v>
      </c>
      <c r="N273" s="20" t="n">
        <v>474.6</v>
      </c>
      <c r="O273" s="29" t="n">
        <v>0.832977960526316</v>
      </c>
      <c r="P273" s="20" t="n">
        <v>0.61328125</v>
      </c>
      <c r="Q273" s="20" t="n">
        <v>443.3</v>
      </c>
      <c r="R273" s="20" t="n">
        <v>0.61328125</v>
      </c>
      <c r="S273" s="20" t="n">
        <v>443.3</v>
      </c>
      <c r="U273" s="35"/>
      <c r="V273" s="28" t="n">
        <v>0.18785890073831</v>
      </c>
      <c r="W273" s="29" t="n">
        <f aca="false">D273/C273</f>
        <v>8.01973684210526</v>
      </c>
      <c r="X273" s="35"/>
      <c r="Y273" s="30" t="n">
        <v>4.72813179347826</v>
      </c>
      <c r="Z273" s="30" t="n">
        <v>4.72813179347826</v>
      </c>
      <c r="AA273" s="30" t="n">
        <v>6.13361510411899</v>
      </c>
      <c r="AB273" s="30" t="n">
        <v>45.9742956521739</v>
      </c>
      <c r="AD273" s="28" t="n">
        <v>665</v>
      </c>
      <c r="AE273" s="30" t="n">
        <f aca="false">AD273*1000/C273/D273*145.038/SQRT(145.038*L273)</f>
        <v>5.70008498247099</v>
      </c>
      <c r="AF273" s="32" t="n">
        <f aca="false">AD273*1000/C273/D273</f>
        <v>3.5890073831009</v>
      </c>
    </row>
    <row r="274" customFormat="false" ht="25.5" hidden="false" customHeight="true" outlineLevel="0" collapsed="false">
      <c r="A274" s="33" t="s">
        <v>359</v>
      </c>
      <c r="B274" s="34" t="s">
        <v>360</v>
      </c>
      <c r="C274" s="26" t="n">
        <v>100</v>
      </c>
      <c r="D274" s="26" t="n">
        <v>700</v>
      </c>
      <c r="E274" s="26" t="n">
        <v>1550</v>
      </c>
      <c r="F274" s="20" t="n">
        <v>2.36</v>
      </c>
      <c r="G274" s="20" t="n">
        <v>2.21428571428571</v>
      </c>
      <c r="H274" s="26" t="n">
        <v>1</v>
      </c>
      <c r="I274" s="26" t="n">
        <v>2</v>
      </c>
      <c r="J274" s="26" t="n">
        <v>1</v>
      </c>
      <c r="K274" s="20" t="n">
        <v>0.25</v>
      </c>
      <c r="L274" s="20" t="n">
        <v>117</v>
      </c>
      <c r="M274" s="20" t="n">
        <v>3.61728</v>
      </c>
      <c r="N274" s="20" t="n">
        <v>392</v>
      </c>
      <c r="O274" s="20" t="n">
        <v>1.6956</v>
      </c>
      <c r="P274" s="20" t="n">
        <v>0.7065</v>
      </c>
      <c r="Q274" s="20" t="n">
        <v>275</v>
      </c>
      <c r="R274" s="20" t="n">
        <v>0.6283</v>
      </c>
      <c r="S274" s="20" t="n">
        <v>275</v>
      </c>
      <c r="U274" s="35"/>
      <c r="V274" s="28" t="n">
        <v>0.178571428571429</v>
      </c>
      <c r="W274" s="29" t="n">
        <f aca="false">D274/C274</f>
        <v>7</v>
      </c>
      <c r="X274" s="35"/>
      <c r="Y274" s="30" t="n">
        <v>1.4767735042735</v>
      </c>
      <c r="Z274" s="30" t="n">
        <v>1.66057692307692</v>
      </c>
      <c r="AA274" s="30" t="n">
        <v>3.98538461538462</v>
      </c>
      <c r="AB274" s="30" t="n">
        <v>12.1194338461539</v>
      </c>
      <c r="AD274" s="28" t="n">
        <v>363.5473855375</v>
      </c>
      <c r="AE274" s="30" t="n">
        <f aca="false">AD274*1000/C274/D274*145.038/SQRT(145.038*L274)</f>
        <v>5.78243761609357</v>
      </c>
      <c r="AF274" s="32" t="n">
        <f aca="false">AD274*1000/C274/D274</f>
        <v>5.19353407910714</v>
      </c>
    </row>
    <row r="275" customFormat="false" ht="25.5" hidden="false" customHeight="true" outlineLevel="0" collapsed="false">
      <c r="A275" s="33"/>
      <c r="B275" s="34" t="s">
        <v>361</v>
      </c>
      <c r="C275" s="26" t="n">
        <v>100</v>
      </c>
      <c r="D275" s="26" t="n">
        <v>700</v>
      </c>
      <c r="E275" s="26" t="n">
        <v>950</v>
      </c>
      <c r="F275" s="20" t="n">
        <v>1.5</v>
      </c>
      <c r="G275" s="20" t="n">
        <v>1.35714285714286</v>
      </c>
      <c r="H275" s="26" t="n">
        <v>1</v>
      </c>
      <c r="I275" s="26" t="n">
        <v>1</v>
      </c>
      <c r="J275" s="26" t="n">
        <v>1</v>
      </c>
      <c r="K275" s="20" t="n">
        <v>0.15</v>
      </c>
      <c r="L275" s="20" t="n">
        <v>117</v>
      </c>
      <c r="M275" s="20" t="n">
        <v>3.61728</v>
      </c>
      <c r="N275" s="20" t="n">
        <v>392</v>
      </c>
      <c r="O275" s="20" t="n">
        <v>1.6956</v>
      </c>
      <c r="P275" s="20" t="n">
        <v>0.7065</v>
      </c>
      <c r="Q275" s="20" t="n">
        <v>275</v>
      </c>
      <c r="R275" s="20" t="n">
        <v>0.6283</v>
      </c>
      <c r="S275" s="20" t="n">
        <v>275</v>
      </c>
      <c r="U275" s="35"/>
      <c r="V275" s="28" t="n">
        <v>0.178571428571429</v>
      </c>
      <c r="W275" s="29" t="n">
        <f aca="false">D275/C275</f>
        <v>7</v>
      </c>
      <c r="X275" s="35"/>
      <c r="Y275" s="30" t="n">
        <v>1.4767735042735</v>
      </c>
      <c r="Z275" s="30" t="n">
        <v>1.66057692307692</v>
      </c>
      <c r="AA275" s="30" t="n">
        <v>3.98538461538462</v>
      </c>
      <c r="AB275" s="30" t="n">
        <v>12.1194338461539</v>
      </c>
      <c r="AD275" s="28" t="n">
        <v>448.5</v>
      </c>
      <c r="AE275" s="30" t="n">
        <f aca="false">AD275*1000/C275/D275*145.038/SQRT(145.038*L275)</f>
        <v>7.13365952827202</v>
      </c>
      <c r="AF275" s="32" t="n">
        <f aca="false">AD275*1000/C275/D275</f>
        <v>6.40714285714286</v>
      </c>
    </row>
    <row r="276" customFormat="false" ht="24.75" hidden="false" customHeight="true" outlineLevel="0" collapsed="false">
      <c r="A276" s="33" t="s">
        <v>362</v>
      </c>
      <c r="B276" s="34" t="s">
        <v>363</v>
      </c>
      <c r="C276" s="26" t="n">
        <v>85</v>
      </c>
      <c r="D276" s="26" t="n">
        <v>1200</v>
      </c>
      <c r="E276" s="26" t="n">
        <v>2000</v>
      </c>
      <c r="F276" s="20" t="n">
        <v>1.67</v>
      </c>
      <c r="G276" s="20" t="n">
        <v>1.66666666666667</v>
      </c>
      <c r="H276" s="26" t="n">
        <v>2</v>
      </c>
      <c r="I276" s="26" t="n">
        <v>2</v>
      </c>
      <c r="J276" s="26" t="n">
        <v>1</v>
      </c>
      <c r="K276" s="20" t="n">
        <v>0.24</v>
      </c>
      <c r="L276" s="20" t="n">
        <v>65</v>
      </c>
      <c r="M276" s="20" t="n">
        <v>1.93827160493827</v>
      </c>
      <c r="N276" s="20" t="n">
        <v>413.9</v>
      </c>
      <c r="O276" s="20" t="n">
        <v>0.785</v>
      </c>
      <c r="P276" s="20" t="n">
        <v>0.554117647058824</v>
      </c>
      <c r="Q276" s="20" t="n">
        <v>571.8</v>
      </c>
      <c r="R276" s="20" t="n">
        <v>0.554117647058824</v>
      </c>
      <c r="S276" s="20" t="n">
        <v>571.8</v>
      </c>
      <c r="U276" s="35"/>
      <c r="V276" s="28" t="n">
        <v>0.237885462555066</v>
      </c>
      <c r="W276" s="29" t="n">
        <f aca="false">D276/C276</f>
        <v>14.1176470588235</v>
      </c>
      <c r="X276" s="35"/>
      <c r="Y276" s="30" t="n">
        <v>4.87453031674208</v>
      </c>
      <c r="Z276" s="30" t="n">
        <v>4.87453031674208</v>
      </c>
      <c r="AA276" s="30" t="n">
        <v>6.90558461538462</v>
      </c>
      <c r="AB276" s="30" t="n">
        <v>12.3423171889839</v>
      </c>
      <c r="AD276" s="28" t="n">
        <v>434.95</v>
      </c>
      <c r="AE276" s="30" t="n">
        <f aca="false">AD276*1000/C276/D276*145.038/SQRT(145.038*L276)</f>
        <v>6.36976464981365</v>
      </c>
      <c r="AF276" s="32" t="n">
        <f aca="false">AD276*1000/C276/D276</f>
        <v>4.26421568627451</v>
      </c>
    </row>
    <row r="277" customFormat="false" ht="25.5" hidden="false" customHeight="true" outlineLevel="0" collapsed="false">
      <c r="A277" s="33"/>
      <c r="B277" s="34" t="s">
        <v>364</v>
      </c>
      <c r="C277" s="26" t="n">
        <v>85</v>
      </c>
      <c r="D277" s="26" t="n">
        <v>1200</v>
      </c>
      <c r="E277" s="26" t="n">
        <v>2000</v>
      </c>
      <c r="F277" s="20" t="n">
        <v>1.67</v>
      </c>
      <c r="G277" s="20" t="n">
        <v>1.66666666666667</v>
      </c>
      <c r="H277" s="26" t="n">
        <v>2</v>
      </c>
      <c r="I277" s="26" t="n">
        <v>2</v>
      </c>
      <c r="J277" s="26" t="n">
        <v>1</v>
      </c>
      <c r="K277" s="20" t="n">
        <v>0.12</v>
      </c>
      <c r="L277" s="20" t="n">
        <v>65</v>
      </c>
      <c r="M277" s="20" t="n">
        <v>1.93827160493827</v>
      </c>
      <c r="N277" s="20" t="n">
        <v>413.9</v>
      </c>
      <c r="O277" s="20" t="n">
        <v>0.785</v>
      </c>
      <c r="P277" s="20" t="n">
        <v>0.554117647058824</v>
      </c>
      <c r="Q277" s="20" t="n">
        <v>571.8</v>
      </c>
      <c r="R277" s="20" t="n">
        <v>0.554117647058824</v>
      </c>
      <c r="S277" s="20" t="n">
        <v>571.8</v>
      </c>
      <c r="U277" s="35"/>
      <c r="V277" s="28" t="n">
        <v>0.237885462555066</v>
      </c>
      <c r="W277" s="29" t="n">
        <f aca="false">D277/C277</f>
        <v>14.1176470588235</v>
      </c>
      <c r="X277" s="35"/>
      <c r="Y277" s="30" t="n">
        <v>4.87453031674208</v>
      </c>
      <c r="Z277" s="30" t="n">
        <v>4.87453031674208</v>
      </c>
      <c r="AA277" s="30" t="n">
        <v>6.90558461538462</v>
      </c>
      <c r="AB277" s="30" t="n">
        <v>12.3423171889839</v>
      </c>
      <c r="AD277" s="28" t="n">
        <v>348.73525</v>
      </c>
      <c r="AE277" s="30" t="n">
        <f aca="false">AD277*1000/C277/D277*145.038/SQRT(145.038*L277)</f>
        <v>5.10716511689603</v>
      </c>
      <c r="AF277" s="32" t="n">
        <f aca="false">AD277*1000/C277/D277</f>
        <v>3.41897303921569</v>
      </c>
    </row>
    <row r="278" customFormat="false" ht="25.5" hidden="false" customHeight="true" outlineLevel="0" collapsed="false">
      <c r="A278" s="33"/>
      <c r="B278" s="34" t="s">
        <v>365</v>
      </c>
      <c r="C278" s="26" t="n">
        <v>85</v>
      </c>
      <c r="D278" s="26" t="n">
        <v>1200</v>
      </c>
      <c r="E278" s="26" t="n">
        <v>2000</v>
      </c>
      <c r="F278" s="20" t="n">
        <v>1.67</v>
      </c>
      <c r="G278" s="20" t="n">
        <v>1.66666666666667</v>
      </c>
      <c r="H278" s="26" t="n">
        <v>2</v>
      </c>
      <c r="I278" s="26" t="n">
        <v>2</v>
      </c>
      <c r="J278" s="26" t="n">
        <v>1</v>
      </c>
      <c r="K278" s="20" t="n">
        <v>0</v>
      </c>
      <c r="L278" s="20" t="n">
        <v>65</v>
      </c>
      <c r="M278" s="20" t="n">
        <v>1.93827160493827</v>
      </c>
      <c r="N278" s="20" t="n">
        <v>413.9</v>
      </c>
      <c r="O278" s="20" t="n">
        <v>0.785</v>
      </c>
      <c r="P278" s="20" t="n">
        <v>0.554117647058824</v>
      </c>
      <c r="Q278" s="20" t="n">
        <v>571.8</v>
      </c>
      <c r="R278" s="20" t="n">
        <v>0.554117647058824</v>
      </c>
      <c r="S278" s="20" t="n">
        <v>571.8</v>
      </c>
      <c r="U278" s="35"/>
      <c r="V278" s="28" t="n">
        <v>0.237885462555066</v>
      </c>
      <c r="W278" s="29" t="n">
        <f aca="false">D278/C278</f>
        <v>14.1176470588235</v>
      </c>
      <c r="X278" s="35"/>
      <c r="Y278" s="30" t="n">
        <v>4.87453031674208</v>
      </c>
      <c r="Z278" s="30" t="n">
        <v>4.87453031674208</v>
      </c>
      <c r="AA278" s="30" t="n">
        <v>6.90558461538462</v>
      </c>
      <c r="AB278" s="30" t="n">
        <v>12.3423171889839</v>
      </c>
      <c r="AD278" s="28" t="n">
        <v>237.6783698925</v>
      </c>
      <c r="AE278" s="30" t="n">
        <f aca="false">AD278*1000/C278/D278*145.038/SQRT(145.038*L278)</f>
        <v>3.48075704923918</v>
      </c>
      <c r="AF278" s="32" t="n">
        <f aca="false">AD278*1000/C278/D278</f>
        <v>2.33018009698529</v>
      </c>
    </row>
    <row r="279" customFormat="false" ht="25.5" hidden="false" customHeight="true" outlineLevel="0" collapsed="false">
      <c r="A279" s="33"/>
      <c r="B279" s="34" t="s">
        <v>366</v>
      </c>
      <c r="C279" s="26" t="n">
        <v>85</v>
      </c>
      <c r="D279" s="26" t="n">
        <v>1200</v>
      </c>
      <c r="E279" s="26" t="n">
        <v>2000</v>
      </c>
      <c r="F279" s="20" t="n">
        <v>1.67</v>
      </c>
      <c r="G279" s="20" t="n">
        <v>1.66666666666667</v>
      </c>
      <c r="H279" s="26" t="n">
        <v>2</v>
      </c>
      <c r="I279" s="26" t="n">
        <v>2</v>
      </c>
      <c r="J279" s="26" t="n">
        <v>1</v>
      </c>
      <c r="K279" s="20" t="n">
        <v>0.12</v>
      </c>
      <c r="L279" s="20" t="n">
        <v>65</v>
      </c>
      <c r="M279" s="20" t="n">
        <v>1.93827160493827</v>
      </c>
      <c r="N279" s="20" t="n">
        <v>413.9</v>
      </c>
      <c r="O279" s="20" t="n">
        <v>0.785</v>
      </c>
      <c r="P279" s="20" t="n">
        <v>1.10823529411765</v>
      </c>
      <c r="Q279" s="20" t="n">
        <v>571.8</v>
      </c>
      <c r="R279" s="20" t="n">
        <v>0.554117647058824</v>
      </c>
      <c r="S279" s="20" t="n">
        <v>571.8</v>
      </c>
      <c r="U279" s="35"/>
      <c r="V279" s="28" t="n">
        <v>0.237885462555066</v>
      </c>
      <c r="W279" s="29" t="n">
        <f aca="false">D279/C279</f>
        <v>14.1176470588235</v>
      </c>
      <c r="X279" s="35"/>
      <c r="Y279" s="30" t="n">
        <v>4.87453031674208</v>
      </c>
      <c r="Z279" s="30" t="n">
        <v>9.74906063348416</v>
      </c>
      <c r="AA279" s="30" t="n">
        <v>6.90558461538462</v>
      </c>
      <c r="AB279" s="30" t="n">
        <v>12.3423171889839</v>
      </c>
      <c r="AD279" s="28" t="n">
        <v>352.9588</v>
      </c>
      <c r="AE279" s="30" t="n">
        <f aca="false">AD279*1000/C279/D279*145.038/SQRT(145.038*L279)</f>
        <v>5.16901824825991</v>
      </c>
      <c r="AF279" s="32" t="n">
        <f aca="false">AD279*1000/C279/D279</f>
        <v>3.46038039215686</v>
      </c>
    </row>
    <row r="280" customFormat="false" ht="25.5" hidden="false" customHeight="true" outlineLevel="0" collapsed="false">
      <c r="A280" s="33"/>
      <c r="B280" s="34" t="s">
        <v>367</v>
      </c>
      <c r="C280" s="26" t="n">
        <v>85</v>
      </c>
      <c r="D280" s="26" t="n">
        <v>1200</v>
      </c>
      <c r="E280" s="26" t="n">
        <v>2000</v>
      </c>
      <c r="F280" s="20" t="n">
        <v>1.67</v>
      </c>
      <c r="G280" s="20" t="n">
        <v>1.66666666666667</v>
      </c>
      <c r="H280" s="26" t="n">
        <v>2</v>
      </c>
      <c r="I280" s="26" t="n">
        <v>2</v>
      </c>
      <c r="J280" s="26" t="n">
        <v>1</v>
      </c>
      <c r="K280" s="20" t="n">
        <v>0.12</v>
      </c>
      <c r="L280" s="20" t="n">
        <v>65</v>
      </c>
      <c r="M280" s="20" t="n">
        <v>1.93827160493827</v>
      </c>
      <c r="N280" s="20" t="n">
        <v>413.9</v>
      </c>
      <c r="O280" s="20" t="n">
        <v>0.785</v>
      </c>
      <c r="P280" s="20" t="n">
        <v>0.277058823529412</v>
      </c>
      <c r="Q280" s="20" t="n">
        <v>571.8</v>
      </c>
      <c r="R280" s="20" t="n">
        <v>0.554117647058824</v>
      </c>
      <c r="S280" s="20" t="n">
        <v>571.8</v>
      </c>
      <c r="U280" s="35"/>
      <c r="V280" s="28" t="n">
        <v>0.237885462555066</v>
      </c>
      <c r="W280" s="29" t="n">
        <f aca="false">D280/C280</f>
        <v>14.1176470588235</v>
      </c>
      <c r="X280" s="35"/>
      <c r="Y280" s="30" t="n">
        <v>4.87453031674208</v>
      </c>
      <c r="Z280" s="30" t="n">
        <v>2.43726515837104</v>
      </c>
      <c r="AA280" s="30" t="n">
        <v>6.90558461538462</v>
      </c>
      <c r="AB280" s="30" t="n">
        <v>12.3423171889839</v>
      </c>
      <c r="AD280" s="28" t="n">
        <v>357.22525</v>
      </c>
      <c r="AE280" s="30" t="n">
        <f aca="false">AD280*1000/C280/D280*145.038/SQRT(145.038*L280)</f>
        <v>5.23149964242061</v>
      </c>
      <c r="AF280" s="32" t="n">
        <f aca="false">AD280*1000/C280/D280</f>
        <v>3.50220833333333</v>
      </c>
    </row>
    <row r="281" customFormat="false" ht="25.5" hidden="false" customHeight="true" outlineLevel="0" collapsed="false">
      <c r="A281" s="20" t="s">
        <v>368</v>
      </c>
      <c r="B281" s="34" t="s">
        <v>369</v>
      </c>
      <c r="C281" s="26" t="n">
        <v>100</v>
      </c>
      <c r="D281" s="26" t="n">
        <v>700</v>
      </c>
      <c r="E281" s="26" t="n">
        <v>1500</v>
      </c>
      <c r="F281" s="20" t="n">
        <v>1.8</v>
      </c>
      <c r="G281" s="20" t="n">
        <v>2.14285714285714</v>
      </c>
      <c r="H281" s="26" t="n">
        <v>1</v>
      </c>
      <c r="I281" s="26" t="n">
        <v>1</v>
      </c>
      <c r="J281" s="26" t="n">
        <v>1</v>
      </c>
      <c r="K281" s="20" t="n">
        <v>0.24</v>
      </c>
      <c r="L281" s="20" t="n">
        <v>29.4</v>
      </c>
      <c r="M281" s="20" t="n">
        <v>12.56</v>
      </c>
      <c r="N281" s="20" t="n">
        <v>375</v>
      </c>
      <c r="O281" s="20" t="n">
        <v>0.7536</v>
      </c>
      <c r="P281" s="20" t="n">
        <v>1.71740398396242</v>
      </c>
      <c r="Q281" s="20" t="n">
        <v>305</v>
      </c>
      <c r="R281" s="20" t="n">
        <v>0.60318578948924</v>
      </c>
      <c r="S281" s="20" t="n">
        <v>305</v>
      </c>
      <c r="U281" s="35"/>
      <c r="V281" s="28" t="n">
        <v>0.142857142857143</v>
      </c>
      <c r="W281" s="29" t="n">
        <f aca="false">D281/C281</f>
        <v>7</v>
      </c>
      <c r="X281" s="35"/>
      <c r="Y281" s="30" t="n">
        <v>6.25753965286457</v>
      </c>
      <c r="Z281" s="30" t="n">
        <v>17.8166059560727</v>
      </c>
      <c r="AA281" s="30" t="n">
        <v>9.38155102040816</v>
      </c>
      <c r="AB281" s="30" t="n">
        <v>160.204081632653</v>
      </c>
      <c r="AD281" s="28" t="n">
        <v>302.82075</v>
      </c>
      <c r="AE281" s="30" t="n">
        <f aca="false">AD281*1000/C281/D281*145.038/SQRT(145.038*L281)</f>
        <v>9.6084830142047</v>
      </c>
      <c r="AF281" s="32" t="n">
        <f aca="false">AD281*1000/C281/D281</f>
        <v>4.32601071428571</v>
      </c>
    </row>
    <row r="282" customFormat="false" ht="25.5" hidden="false" customHeight="true" outlineLevel="0" collapsed="false">
      <c r="A282" s="40" t="s">
        <v>370</v>
      </c>
      <c r="B282" s="25" t="s">
        <v>371</v>
      </c>
      <c r="C282" s="26" t="n">
        <v>125</v>
      </c>
      <c r="D282" s="26" t="n">
        <v>1000</v>
      </c>
      <c r="E282" s="26" t="n">
        <v>1000</v>
      </c>
      <c r="F282" s="20" t="n">
        <v>1</v>
      </c>
      <c r="G282" s="20" t="n">
        <v>1</v>
      </c>
      <c r="H282" s="26" t="n">
        <v>1</v>
      </c>
      <c r="I282" s="26" t="n">
        <v>1</v>
      </c>
      <c r="J282" s="26" t="n">
        <v>1</v>
      </c>
      <c r="K282" s="20" t="n">
        <v>0.3</v>
      </c>
      <c r="L282" s="20" t="n">
        <v>30.8</v>
      </c>
      <c r="M282" s="20" t="n">
        <v>1.62482325818182</v>
      </c>
      <c r="N282" s="20" t="n">
        <v>379</v>
      </c>
      <c r="O282" s="20" t="n">
        <v>0.67151412</v>
      </c>
      <c r="P282" s="20" t="n">
        <v>0.4297690368</v>
      </c>
      <c r="Q282" s="20" t="n">
        <v>392</v>
      </c>
      <c r="R282" s="20" t="n">
        <v>0.4297690368</v>
      </c>
      <c r="S282" s="20" t="n">
        <v>392</v>
      </c>
      <c r="U282" s="35"/>
      <c r="V282" s="28" t="n">
        <v>0.22</v>
      </c>
      <c r="W282" s="29" t="n">
        <f aca="false">D282/C282</f>
        <v>8</v>
      </c>
      <c r="X282" s="35"/>
      <c r="Y282" s="30" t="n">
        <v>5.46978774109091</v>
      </c>
      <c r="Z282" s="30" t="n">
        <v>5.46978774109091</v>
      </c>
      <c r="AA282" s="30" t="n">
        <v>8.54654334545455</v>
      </c>
      <c r="AB282" s="30" t="n">
        <v>19.9937667159386</v>
      </c>
      <c r="AD282" s="28" t="n">
        <v>508.7</v>
      </c>
      <c r="AE282" s="30" t="n">
        <f aca="false">AD282*1000/C282/D282*145.038/SQRT(145.038*L282)</f>
        <v>8.83115012453166</v>
      </c>
      <c r="AF282" s="32" t="n">
        <f aca="false">AD282*1000/C282/D282</f>
        <v>4.0696</v>
      </c>
    </row>
    <row r="283" customFormat="false" ht="25.5" hidden="false" customHeight="true" outlineLevel="0" collapsed="false">
      <c r="A283" s="40"/>
      <c r="B283" s="25" t="s">
        <v>372</v>
      </c>
      <c r="C283" s="26" t="n">
        <v>125</v>
      </c>
      <c r="D283" s="26" t="n">
        <v>1000</v>
      </c>
      <c r="E283" s="26" t="n">
        <v>1500</v>
      </c>
      <c r="F283" s="20" t="n">
        <v>1.5</v>
      </c>
      <c r="G283" s="20" t="n">
        <v>1.5</v>
      </c>
      <c r="H283" s="26" t="n">
        <v>1</v>
      </c>
      <c r="I283" s="26" t="n">
        <v>2</v>
      </c>
      <c r="J283" s="26" t="n">
        <v>1</v>
      </c>
      <c r="K283" s="20" t="n">
        <v>0.3</v>
      </c>
      <c r="L283" s="20" t="n">
        <v>30.8</v>
      </c>
      <c r="M283" s="20" t="n">
        <v>1.62482325818182</v>
      </c>
      <c r="N283" s="20" t="n">
        <v>379</v>
      </c>
      <c r="O283" s="20" t="n">
        <v>0.67151412</v>
      </c>
      <c r="P283" s="20" t="n">
        <v>0.4297690368</v>
      </c>
      <c r="Q283" s="20" t="n">
        <v>392</v>
      </c>
      <c r="R283" s="20" t="n">
        <v>0.4297690368</v>
      </c>
      <c r="S283" s="20" t="n">
        <v>392</v>
      </c>
      <c r="U283" s="35"/>
      <c r="V283" s="28" t="n">
        <v>0.22</v>
      </c>
      <c r="W283" s="29" t="n">
        <f aca="false">D283/C283</f>
        <v>8</v>
      </c>
      <c r="X283" s="35"/>
      <c r="Y283" s="30" t="n">
        <v>5.46978774109091</v>
      </c>
      <c r="Z283" s="30" t="n">
        <v>5.46978774109091</v>
      </c>
      <c r="AA283" s="30" t="n">
        <v>8.54654334545455</v>
      </c>
      <c r="AB283" s="30" t="n">
        <v>19.9937667159386</v>
      </c>
      <c r="AD283" s="28" t="n">
        <v>329.05</v>
      </c>
      <c r="AE283" s="30" t="n">
        <f aca="false">AD283*1000/C283/D283*145.038/SQRT(145.038*L283)</f>
        <v>5.71238440825072</v>
      </c>
      <c r="AF283" s="32" t="n">
        <f aca="false">AD283*1000/C283/D283</f>
        <v>2.6324</v>
      </c>
    </row>
    <row r="284" customFormat="false" ht="25.5" hidden="false" customHeight="true" outlineLevel="0" collapsed="false">
      <c r="A284" s="24" t="s">
        <v>373</v>
      </c>
      <c r="B284" s="34" t="s">
        <v>67</v>
      </c>
      <c r="C284" s="26" t="n">
        <v>200</v>
      </c>
      <c r="D284" s="26" t="n">
        <v>1600</v>
      </c>
      <c r="E284" s="26" t="n">
        <v>3200</v>
      </c>
      <c r="F284" s="20" t="n">
        <v>2</v>
      </c>
      <c r="G284" s="20" t="n">
        <v>2</v>
      </c>
      <c r="H284" s="26" t="n">
        <v>1</v>
      </c>
      <c r="I284" s="26" t="n">
        <v>2</v>
      </c>
      <c r="J284" s="26" t="n">
        <v>1</v>
      </c>
      <c r="K284" s="20" t="n">
        <v>0.126441432328545</v>
      </c>
      <c r="L284" s="20" t="n">
        <v>49.43</v>
      </c>
      <c r="M284" s="20" t="n">
        <v>2.38564692131975</v>
      </c>
      <c r="N284" s="20" t="n">
        <v>471</v>
      </c>
      <c r="O284" s="20" t="n">
        <v>0.628318530717959</v>
      </c>
      <c r="P284" s="20" t="n">
        <v>0.654498469497874</v>
      </c>
      <c r="Q284" s="20" t="n">
        <v>573</v>
      </c>
      <c r="R284" s="50" t="n">
        <v>0.824668071567321</v>
      </c>
      <c r="S284" s="20" t="n">
        <v>540</v>
      </c>
      <c r="U284" s="35"/>
      <c r="V284" s="28" t="n">
        <v>0.2</v>
      </c>
      <c r="W284" s="29" t="n">
        <f aca="false">D284/C284</f>
        <v>8</v>
      </c>
      <c r="X284" s="35"/>
      <c r="Y284" s="30" t="n">
        <v>9.0091191310207</v>
      </c>
      <c r="Z284" s="30" t="n">
        <v>7.58704477083313</v>
      </c>
      <c r="AA284" s="30" t="n">
        <v>7.2835629799998</v>
      </c>
      <c r="AB284" s="30" t="n">
        <v>22.7319380930933</v>
      </c>
      <c r="AD284" s="28" t="n">
        <v>800</v>
      </c>
      <c r="AE284" s="30" t="n">
        <f aca="false">AD284*1000/C284/D284*145.038/SQRT(145.038*L284)</f>
        <v>4.28238396948097</v>
      </c>
      <c r="AF284" s="32" t="n">
        <f aca="false">AD284*1000/C284/D284</f>
        <v>2.5</v>
      </c>
    </row>
    <row r="285" customFormat="false" ht="25.5" hidden="false" customHeight="true" outlineLevel="0" collapsed="false">
      <c r="A285" s="24" t="s">
        <v>374</v>
      </c>
      <c r="B285" s="25" t="s">
        <v>375</v>
      </c>
      <c r="C285" s="26" t="n">
        <v>200</v>
      </c>
      <c r="D285" s="26" t="n">
        <v>1700</v>
      </c>
      <c r="E285" s="26" t="n">
        <v>3280</v>
      </c>
      <c r="F285" s="20" t="n">
        <v>1.93</v>
      </c>
      <c r="G285" s="20" t="n">
        <v>1.92941176470588</v>
      </c>
      <c r="H285" s="26" t="n">
        <v>1</v>
      </c>
      <c r="I285" s="26" t="n">
        <v>2</v>
      </c>
      <c r="J285" s="26" t="n">
        <v>1</v>
      </c>
      <c r="K285" s="20" t="n">
        <v>0.093</v>
      </c>
      <c r="L285" s="20" t="n">
        <v>30</v>
      </c>
      <c r="M285" s="20" t="n">
        <v>2.011</v>
      </c>
      <c r="N285" s="20" t="n">
        <v>438</v>
      </c>
      <c r="O285" s="28" t="n">
        <v>0.502654824574367</v>
      </c>
      <c r="P285" s="20" t="n">
        <v>0.3925</v>
      </c>
      <c r="Q285" s="20" t="n">
        <v>430</v>
      </c>
      <c r="R285" s="20" t="n">
        <v>0.349</v>
      </c>
      <c r="S285" s="20" t="n">
        <v>430</v>
      </c>
      <c r="U285" s="27" t="s">
        <v>209</v>
      </c>
      <c r="V285" s="28" t="n">
        <v>0.235294117647059</v>
      </c>
      <c r="W285" s="29" t="n">
        <f aca="false">D285/C285</f>
        <v>8.5</v>
      </c>
      <c r="X285" s="35"/>
      <c r="Y285" s="30" t="n">
        <v>5.00233333333333</v>
      </c>
      <c r="Z285" s="30" t="n">
        <v>5.62583333333333</v>
      </c>
      <c r="AA285" s="30" t="n">
        <v>7.55657752943465</v>
      </c>
      <c r="AB285" s="30" t="n">
        <v>29.3606</v>
      </c>
      <c r="AD285" s="29" t="n">
        <v>679.17795</v>
      </c>
      <c r="AE285" s="30" t="n">
        <f aca="false">AD285*1000/C285/D285*145.038/SQRT(145.038*L285)</f>
        <v>4.39222859058972</v>
      </c>
      <c r="AF285" s="32" t="n">
        <f aca="false">AD285*1000/C285/D285</f>
        <v>1.99758220588235</v>
      </c>
    </row>
    <row r="286" customFormat="false" ht="25.5" hidden="false" customHeight="true" outlineLevel="0" collapsed="false">
      <c r="A286" s="54" t="s">
        <v>376</v>
      </c>
      <c r="B286" s="25" t="s">
        <v>377</v>
      </c>
      <c r="C286" s="26" t="n">
        <v>100</v>
      </c>
      <c r="D286" s="13" t="n">
        <v>2200</v>
      </c>
      <c r="E286" s="13" t="n">
        <v>1100</v>
      </c>
      <c r="F286" s="13" t="n">
        <v>0.5</v>
      </c>
      <c r="G286" s="20" t="n">
        <v>0.5</v>
      </c>
      <c r="H286" s="26" t="n">
        <v>2</v>
      </c>
      <c r="I286" s="26" t="n">
        <v>2</v>
      </c>
      <c r="J286" s="26" t="n">
        <v>1</v>
      </c>
      <c r="K286" s="20" t="n">
        <v>0.0310800310800311</v>
      </c>
      <c r="L286" s="20" t="n">
        <v>29.7</v>
      </c>
      <c r="M286" s="20" t="n">
        <v>3.97995</v>
      </c>
      <c r="N286" s="20" t="n">
        <v>368</v>
      </c>
      <c r="O286" s="20" t="n">
        <v>1.1304</v>
      </c>
      <c r="P286" s="20" t="n">
        <v>0.7536</v>
      </c>
      <c r="Q286" s="20" t="n">
        <v>362</v>
      </c>
      <c r="R286" s="20" t="n">
        <v>0.7536</v>
      </c>
      <c r="S286" s="20" t="n">
        <v>362</v>
      </c>
      <c r="U286" s="27" t="s">
        <v>89</v>
      </c>
      <c r="V286" s="28" t="n">
        <v>0.153846153846154</v>
      </c>
      <c r="W286" s="29" t="n">
        <f aca="false">D286/C286</f>
        <v>22</v>
      </c>
      <c r="X286" s="13"/>
      <c r="Y286" s="30" t="n">
        <v>9.18529292929293</v>
      </c>
      <c r="Z286" s="30" t="n">
        <v>9.18529292929293</v>
      </c>
      <c r="AA286" s="30" t="n">
        <v>13.7779393939394</v>
      </c>
      <c r="AB286" s="30" t="n">
        <v>49.3138585858586</v>
      </c>
      <c r="AD286" s="28" t="n">
        <v>1016</v>
      </c>
      <c r="AE286" s="30" t="n">
        <f aca="false">AD286*1000/C286/D286*145.038/SQRT(145.038*L286)</f>
        <v>10.2054862915304</v>
      </c>
      <c r="AF286" s="32" t="n">
        <f aca="false">AD286*1000/C286/D286</f>
        <v>4.61818181818182</v>
      </c>
    </row>
    <row r="287" customFormat="false" ht="25.5" hidden="false" customHeight="true" outlineLevel="0" collapsed="false">
      <c r="A287" s="54" t="s">
        <v>378</v>
      </c>
      <c r="B287" s="25" t="s">
        <v>379</v>
      </c>
      <c r="C287" s="26" t="n">
        <v>80</v>
      </c>
      <c r="D287" s="13" t="n">
        <v>2250</v>
      </c>
      <c r="E287" s="13" t="n">
        <v>1875</v>
      </c>
      <c r="F287" s="13" t="n">
        <v>0.83</v>
      </c>
      <c r="G287" s="20" t="n">
        <v>0.833333333333333</v>
      </c>
      <c r="H287" s="26" t="n">
        <v>2</v>
      </c>
      <c r="I287" s="26" t="n">
        <v>2</v>
      </c>
      <c r="J287" s="26" t="n">
        <v>1</v>
      </c>
      <c r="K287" s="20" t="n">
        <v>0.0544245283018868</v>
      </c>
      <c r="L287" s="20" t="n">
        <v>26</v>
      </c>
      <c r="M287" s="20" t="n">
        <v>0.81032096</v>
      </c>
      <c r="N287" s="20" t="n">
        <v>358.7</v>
      </c>
      <c r="O287" s="20" t="n">
        <v>1.01736</v>
      </c>
      <c r="P287" s="20" t="n">
        <v>1.413</v>
      </c>
      <c r="Q287" s="20" t="n">
        <v>623.28</v>
      </c>
      <c r="R287" s="20" t="n">
        <v>0.7065</v>
      </c>
      <c r="S287" s="20" t="n">
        <v>623.3</v>
      </c>
      <c r="U287" s="27"/>
      <c r="V287" s="28" t="n">
        <v>0.235849056603774</v>
      </c>
      <c r="W287" s="29" t="n">
        <f aca="false">D287/C287</f>
        <v>28.125</v>
      </c>
      <c r="X287" s="13"/>
      <c r="Y287" s="30" t="n">
        <v>16.9369788461539</v>
      </c>
      <c r="Z287" s="30" t="n">
        <v>33.8728707692308</v>
      </c>
      <c r="AA287" s="30" t="n">
        <v>13.9573966153846</v>
      </c>
      <c r="AB287" s="30" t="n">
        <v>11.1793126289231</v>
      </c>
      <c r="AD287" s="28" t="n">
        <v>654.1069</v>
      </c>
      <c r="AE287" s="30" t="n">
        <f aca="false">AD287*1000/C287/D287*145.038/SQRT(145.038*L287)</f>
        <v>8.58282885365009</v>
      </c>
      <c r="AF287" s="32" t="n">
        <f aca="false">AD287*1000/C287/D287</f>
        <v>3.63392722222222</v>
      </c>
    </row>
    <row r="288" customFormat="false" ht="25.5" hidden="false" customHeight="true" outlineLevel="0" collapsed="false">
      <c r="A288" s="54"/>
      <c r="B288" s="25" t="s">
        <v>380</v>
      </c>
      <c r="C288" s="26" t="n">
        <v>80</v>
      </c>
      <c r="D288" s="13" t="n">
        <v>2250</v>
      </c>
      <c r="E288" s="13" t="n">
        <v>1875</v>
      </c>
      <c r="F288" s="13" t="n">
        <v>0.83</v>
      </c>
      <c r="G288" s="20" t="n">
        <v>0.833333333333333</v>
      </c>
      <c r="H288" s="26" t="n">
        <v>2</v>
      </c>
      <c r="I288" s="26" t="n">
        <v>2</v>
      </c>
      <c r="J288" s="26" t="n">
        <v>1</v>
      </c>
      <c r="K288" s="20" t="n">
        <v>0.0575235849056604</v>
      </c>
      <c r="L288" s="20" t="n">
        <v>24.6</v>
      </c>
      <c r="M288" s="20" t="n">
        <v>0.81032096</v>
      </c>
      <c r="N288" s="20" t="n">
        <v>358.7</v>
      </c>
      <c r="O288" s="20" t="n">
        <v>0.22608</v>
      </c>
      <c r="P288" s="20" t="n">
        <v>0.471</v>
      </c>
      <c r="Q288" s="20" t="n">
        <v>623.28</v>
      </c>
      <c r="R288" s="20" t="n">
        <v>0.2355</v>
      </c>
      <c r="S288" s="20" t="n">
        <v>623.3</v>
      </c>
      <c r="U288" s="27"/>
      <c r="V288" s="28" t="n">
        <v>0.235849056603774</v>
      </c>
      <c r="W288" s="29" t="n">
        <f aca="false">D288/C288</f>
        <v>28.125</v>
      </c>
      <c r="X288" s="13"/>
      <c r="Y288" s="30" t="n">
        <v>5.96695731707317</v>
      </c>
      <c r="Z288" s="30" t="n">
        <v>11.9335317073171</v>
      </c>
      <c r="AA288" s="30" t="n">
        <v>5.72827902439024</v>
      </c>
      <c r="AB288" s="30" t="n">
        <v>11.8155336728455</v>
      </c>
      <c r="AD288" s="28" t="n">
        <v>484.45</v>
      </c>
      <c r="AE288" s="30" t="n">
        <f aca="false">AD288*1000/C288/D288*145.038/SQRT(145.038*L288)</f>
        <v>6.53506336315398</v>
      </c>
      <c r="AF288" s="32" t="n">
        <f aca="false">AD288*1000/C288/D288</f>
        <v>2.69138888888889</v>
      </c>
    </row>
    <row r="289" customFormat="false" ht="25.5" hidden="false" customHeight="true" outlineLevel="0" collapsed="false">
      <c r="A289" s="54"/>
      <c r="B289" s="25" t="s">
        <v>381</v>
      </c>
      <c r="C289" s="26" t="n">
        <v>80</v>
      </c>
      <c r="D289" s="13" t="n">
        <v>2250</v>
      </c>
      <c r="E289" s="13" t="n">
        <v>1875</v>
      </c>
      <c r="F289" s="13" t="n">
        <v>0.83</v>
      </c>
      <c r="G289" s="20" t="n">
        <v>0.833333333333333</v>
      </c>
      <c r="H289" s="26" t="n">
        <v>2</v>
      </c>
      <c r="I289" s="26" t="n">
        <v>2</v>
      </c>
      <c r="J289" s="26" t="n">
        <v>1</v>
      </c>
      <c r="K289" s="20" t="n">
        <v>0.0544245283018868</v>
      </c>
      <c r="L289" s="20" t="n">
        <v>26</v>
      </c>
      <c r="M289" s="20" t="n">
        <v>0.81032096</v>
      </c>
      <c r="N289" s="20" t="n">
        <v>358.7</v>
      </c>
      <c r="O289" s="20" t="n">
        <v>0.22608</v>
      </c>
      <c r="P289" s="20" t="n">
        <v>0.471</v>
      </c>
      <c r="Q289" s="20" t="n">
        <v>623.28</v>
      </c>
      <c r="R289" s="20" t="n">
        <v>0.2355</v>
      </c>
      <c r="S289" s="20" t="n">
        <v>623.3</v>
      </c>
      <c r="U289" s="27"/>
      <c r="V289" s="28" t="n">
        <v>0.235849056603774</v>
      </c>
      <c r="W289" s="29" t="n">
        <f aca="false">D289/C289</f>
        <v>28.125</v>
      </c>
      <c r="X289" s="13"/>
      <c r="Y289" s="30" t="n">
        <v>5.64565961538462</v>
      </c>
      <c r="Z289" s="30" t="n">
        <v>11.2909569230769</v>
      </c>
      <c r="AA289" s="30" t="n">
        <v>5.41983323076923</v>
      </c>
      <c r="AB289" s="30" t="n">
        <v>11.1793126289231</v>
      </c>
      <c r="AD289" s="28" t="n">
        <v>524.66</v>
      </c>
      <c r="AE289" s="30" t="n">
        <f aca="false">AD289*1000/C289/D289*145.038/SQRT(145.038*L289)</f>
        <v>6.88429824904164</v>
      </c>
      <c r="AF289" s="32" t="n">
        <f aca="false">AD289*1000/C289/D289</f>
        <v>2.91477777777778</v>
      </c>
    </row>
    <row r="290" customFormat="false" ht="25.5" hidden="false" customHeight="true" outlineLevel="0" collapsed="false">
      <c r="A290" s="55" t="s">
        <v>382</v>
      </c>
      <c r="B290" s="49" t="s">
        <v>383</v>
      </c>
      <c r="C290" s="26" t="n">
        <v>80</v>
      </c>
      <c r="D290" s="56" t="n">
        <v>2000</v>
      </c>
      <c r="E290" s="56" t="n">
        <v>2300</v>
      </c>
      <c r="F290" s="20" t="n">
        <v>1.15</v>
      </c>
      <c r="G290" s="20" t="n">
        <v>1.15</v>
      </c>
      <c r="H290" s="26" t="n">
        <v>2</v>
      </c>
      <c r="I290" s="26" t="n">
        <v>1</v>
      </c>
      <c r="J290" s="26" t="n">
        <v>1</v>
      </c>
      <c r="K290" s="26" t="n">
        <v>0</v>
      </c>
      <c r="L290" s="20" t="n">
        <v>28.6</v>
      </c>
      <c r="M290" s="20" t="n">
        <v>1.81</v>
      </c>
      <c r="N290" s="13" t="n">
        <v>515.48</v>
      </c>
      <c r="O290" s="20" t="n">
        <v>0.567057473972958</v>
      </c>
      <c r="P290" s="20" t="n">
        <v>0.36</v>
      </c>
      <c r="Q290" s="13" t="n">
        <v>364.56</v>
      </c>
      <c r="R290" s="13" t="n">
        <v>0.0036</v>
      </c>
      <c r="S290" s="13" t="n">
        <v>364.56</v>
      </c>
      <c r="U290" s="35"/>
      <c r="V290" s="28" t="n">
        <v>0.219298245614035</v>
      </c>
      <c r="W290" s="29" t="n">
        <f aca="false">D290/C290</f>
        <v>25</v>
      </c>
      <c r="X290" s="35"/>
      <c r="Y290" s="30" t="n">
        <v>0.0458886713286713</v>
      </c>
      <c r="Z290" s="30" t="n">
        <v>4.58886713286713</v>
      </c>
      <c r="AA290" s="30" t="n">
        <v>10.2205170169084</v>
      </c>
      <c r="AB290" s="30" t="n">
        <v>32.623034965035</v>
      </c>
      <c r="AD290" s="28" t="n">
        <v>493</v>
      </c>
      <c r="AE290" s="30" t="n">
        <f aca="false">AD290*1000/C290/D290*145.038/SQRT(145.038*L290)</f>
        <v>6.93880721300328</v>
      </c>
      <c r="AF290" s="32" t="n">
        <f aca="false">AD290*1000/C290/D290</f>
        <v>3.08125</v>
      </c>
    </row>
    <row r="291" customFormat="false" ht="25.5" hidden="false" customHeight="true" outlineLevel="0" collapsed="false">
      <c r="A291" s="55"/>
      <c r="B291" s="49" t="s">
        <v>384</v>
      </c>
      <c r="C291" s="26" t="n">
        <v>80</v>
      </c>
      <c r="D291" s="56" t="n">
        <v>3000</v>
      </c>
      <c r="E291" s="56" t="n">
        <v>2300</v>
      </c>
      <c r="F291" s="20" t="n">
        <v>0.77</v>
      </c>
      <c r="G291" s="20" t="n">
        <v>0.77</v>
      </c>
      <c r="H291" s="26" t="n">
        <v>2</v>
      </c>
      <c r="I291" s="26" t="n">
        <v>1</v>
      </c>
      <c r="J291" s="26" t="n">
        <v>1</v>
      </c>
      <c r="K291" s="26" t="n">
        <v>0</v>
      </c>
      <c r="L291" s="20" t="n">
        <v>27.3</v>
      </c>
      <c r="M291" s="20" t="n">
        <v>1.81</v>
      </c>
      <c r="N291" s="13" t="n">
        <v>515.48</v>
      </c>
      <c r="O291" s="20" t="n">
        <v>0.567057473972958</v>
      </c>
      <c r="P291" s="20" t="n">
        <v>0.36</v>
      </c>
      <c r="Q291" s="13" t="n">
        <v>364.56</v>
      </c>
      <c r="R291" s="13" t="n">
        <v>0.0036</v>
      </c>
      <c r="S291" s="13" t="n">
        <v>364.56</v>
      </c>
      <c r="U291" s="35"/>
      <c r="V291" s="28" t="n">
        <v>0.192012288786482</v>
      </c>
      <c r="W291" s="29" t="n">
        <f aca="false">D291/C291</f>
        <v>37.5</v>
      </c>
      <c r="X291" s="35"/>
      <c r="Y291" s="30" t="n">
        <v>0.0480738461538462</v>
      </c>
      <c r="Z291" s="30" t="n">
        <v>4.80738461538462</v>
      </c>
      <c r="AA291" s="30" t="n">
        <v>10.7072083034279</v>
      </c>
      <c r="AB291" s="30" t="n">
        <v>34.1765128205128</v>
      </c>
      <c r="AD291" s="28" t="n">
        <v>660.02</v>
      </c>
      <c r="AE291" s="30" t="n">
        <f aca="false">AD291*1000/C291/D291*145.038/SQRT(145.038*L291)</f>
        <v>6.33877639177726</v>
      </c>
      <c r="AF291" s="32" t="n">
        <f aca="false">AD291*1000/C291/D291</f>
        <v>2.75008333333333</v>
      </c>
    </row>
    <row r="292" customFormat="false" ht="25.5" hidden="false" customHeight="true" outlineLevel="0" collapsed="false">
      <c r="A292" s="54" t="s">
        <v>385</v>
      </c>
      <c r="B292" s="25" t="s">
        <v>386</v>
      </c>
      <c r="C292" s="26" t="n">
        <v>50</v>
      </c>
      <c r="D292" s="26" t="n">
        <v>1350</v>
      </c>
      <c r="E292" s="26" t="n">
        <v>1200</v>
      </c>
      <c r="F292" s="13" t="n">
        <v>0.89</v>
      </c>
      <c r="G292" s="20" t="n">
        <v>0.888888888888889</v>
      </c>
      <c r="H292" s="26" t="n">
        <v>2</v>
      </c>
      <c r="I292" s="26" t="n">
        <v>1</v>
      </c>
      <c r="J292" s="26" t="n">
        <v>1</v>
      </c>
      <c r="K292" s="13" t="n">
        <v>0.0955384615384615</v>
      </c>
      <c r="L292" s="20" t="n">
        <v>27</v>
      </c>
      <c r="M292" s="20" t="n">
        <v>4.50178311111111</v>
      </c>
      <c r="N292" s="20" t="n">
        <v>354</v>
      </c>
      <c r="O292" s="20" t="n">
        <v>0.33</v>
      </c>
      <c r="P292" s="20" t="n">
        <v>1.0048</v>
      </c>
      <c r="Q292" s="20" t="n">
        <v>160</v>
      </c>
      <c r="R292" s="20" t="n">
        <v>2.572288</v>
      </c>
      <c r="S292" s="20" t="n">
        <v>160</v>
      </c>
      <c r="U292" s="27"/>
      <c r="V292" s="28" t="n">
        <v>0.230769230769231</v>
      </c>
      <c r="W292" s="29" t="n">
        <f aca="false">D292/C292</f>
        <v>27</v>
      </c>
      <c r="X292" s="13"/>
      <c r="Y292" s="30" t="n">
        <v>15.2431881481482</v>
      </c>
      <c r="Z292" s="30" t="n">
        <v>5.95437037037037</v>
      </c>
      <c r="AA292" s="30" t="n">
        <v>0</v>
      </c>
      <c r="AB292" s="30" t="n">
        <v>59.0233785679012</v>
      </c>
      <c r="AD292" s="28" t="n">
        <v>567</v>
      </c>
      <c r="AE292" s="30" t="n">
        <f aca="false">AD292*1000/C292/D292*145.038/SQRT(145.038*L292)</f>
        <v>19.4687606179746</v>
      </c>
      <c r="AF292" s="32" t="n">
        <f aca="false">AD292*1000/C292/D292</f>
        <v>8.4</v>
      </c>
    </row>
    <row r="293" customFormat="false" ht="25.5" hidden="false" customHeight="true" outlineLevel="0" collapsed="false">
      <c r="A293" s="54"/>
      <c r="B293" s="25" t="s">
        <v>387</v>
      </c>
      <c r="C293" s="26" t="n">
        <v>50</v>
      </c>
      <c r="D293" s="26" t="n">
        <v>1350</v>
      </c>
      <c r="E293" s="26" t="n">
        <v>1200</v>
      </c>
      <c r="F293" s="13" t="n">
        <v>0.89</v>
      </c>
      <c r="G293" s="20" t="n">
        <v>0.888888888888889</v>
      </c>
      <c r="H293" s="26" t="n">
        <v>2</v>
      </c>
      <c r="I293" s="26" t="n">
        <v>1</v>
      </c>
      <c r="J293" s="26" t="n">
        <v>1</v>
      </c>
      <c r="K293" s="13" t="n">
        <v>0.0955384615384615</v>
      </c>
      <c r="L293" s="20" t="n">
        <v>27</v>
      </c>
      <c r="M293" s="20" t="n">
        <v>4.50178311111111</v>
      </c>
      <c r="N293" s="20" t="n">
        <v>354</v>
      </c>
      <c r="O293" s="20" t="n">
        <v>0.33</v>
      </c>
      <c r="P293" s="20" t="n">
        <v>1.0048</v>
      </c>
      <c r="Q293" s="20" t="n">
        <v>160</v>
      </c>
      <c r="R293" s="20" t="n">
        <v>2.572288</v>
      </c>
      <c r="S293" s="20" t="n">
        <v>160</v>
      </c>
      <c r="U293" s="27"/>
      <c r="V293" s="28" t="n">
        <v>0.230769230769231</v>
      </c>
      <c r="W293" s="29" t="n">
        <f aca="false">D293/C293</f>
        <v>27</v>
      </c>
      <c r="X293" s="13"/>
      <c r="Y293" s="30" t="n">
        <v>15.2431881481482</v>
      </c>
      <c r="Z293" s="30" t="n">
        <v>5.95437037037037</v>
      </c>
      <c r="AA293" s="30" t="n">
        <v>0</v>
      </c>
      <c r="AB293" s="30" t="n">
        <v>59.0233785679012</v>
      </c>
      <c r="AD293" s="28" t="n">
        <v>655</v>
      </c>
      <c r="AE293" s="30" t="n">
        <f aca="false">AD293*1000/C293/D293*145.038/SQRT(145.038*L293)</f>
        <v>22.4903672041859</v>
      </c>
      <c r="AF293" s="32" t="n">
        <f aca="false">AD293*1000/C293/D293</f>
        <v>9.7037037037037</v>
      </c>
    </row>
    <row r="294" customFormat="false" ht="25.5" hidden="false" customHeight="true" outlineLevel="0" collapsed="false">
      <c r="A294" s="55" t="s">
        <v>388</v>
      </c>
      <c r="B294" s="25" t="s">
        <v>389</v>
      </c>
      <c r="C294" s="26" t="n">
        <v>30</v>
      </c>
      <c r="D294" s="26" t="n">
        <v>430</v>
      </c>
      <c r="E294" s="26" t="n">
        <v>150</v>
      </c>
      <c r="F294" s="13" t="n">
        <v>0.348837209302326</v>
      </c>
      <c r="G294" s="20" t="n">
        <v>0.348837209302326</v>
      </c>
      <c r="H294" s="26" t="n">
        <v>3</v>
      </c>
      <c r="I294" s="26" t="n">
        <v>1</v>
      </c>
      <c r="J294" s="26" t="n">
        <v>1</v>
      </c>
      <c r="K294" s="20" t="n">
        <v>0</v>
      </c>
      <c r="L294" s="20" t="n">
        <v>22.4</v>
      </c>
      <c r="M294" s="20" t="n">
        <v>0.683822222222222</v>
      </c>
      <c r="N294" s="20" t="n">
        <v>382.2</v>
      </c>
      <c r="O294" s="20" t="n">
        <v>0.170955555555556</v>
      </c>
      <c r="P294" s="20" t="n">
        <v>0.341911111111111</v>
      </c>
      <c r="Q294" s="20" t="n">
        <v>382.2</v>
      </c>
      <c r="R294" s="20" t="n">
        <v>0.341911111111111</v>
      </c>
      <c r="S294" s="20" t="n">
        <v>382.2</v>
      </c>
      <c r="U294" s="35"/>
      <c r="V294" s="28" t="n">
        <v>0.223880597014925</v>
      </c>
      <c r="W294" s="29" t="n">
        <f aca="false">D294/C294</f>
        <v>14.3333333333333</v>
      </c>
      <c r="X294" s="35"/>
      <c r="Y294" s="30" t="n">
        <v>5.83385833333333</v>
      </c>
      <c r="Z294" s="30" t="n">
        <v>5.83385833333333</v>
      </c>
      <c r="AA294" s="30" t="n">
        <v>2.91692916666667</v>
      </c>
      <c r="AB294" s="30" t="n">
        <v>11.6677166666667</v>
      </c>
      <c r="AD294" s="28" t="n">
        <v>21.1870809864688</v>
      </c>
      <c r="AE294" s="30" t="n">
        <f aca="false">AD294*1000/C294/D294*145.038/SQRT(145.038*L294)</f>
        <v>4.17924958885604</v>
      </c>
      <c r="AF294" s="32" t="n">
        <f aca="false">AD294*1000/C294/D294</f>
        <v>1.64240937879603</v>
      </c>
    </row>
    <row r="295" customFormat="false" ht="25.5" hidden="false" customHeight="true" outlineLevel="0" collapsed="false">
      <c r="A295" s="55"/>
      <c r="B295" s="25" t="s">
        <v>390</v>
      </c>
      <c r="C295" s="26" t="n">
        <v>30</v>
      </c>
      <c r="D295" s="26" t="n">
        <v>430</v>
      </c>
      <c r="E295" s="26" t="n">
        <v>150</v>
      </c>
      <c r="F295" s="13" t="n">
        <v>0.348837209302326</v>
      </c>
      <c r="G295" s="20" t="n">
        <v>0.348837209302326</v>
      </c>
      <c r="H295" s="26" t="n">
        <v>3</v>
      </c>
      <c r="I295" s="26" t="n">
        <v>1</v>
      </c>
      <c r="J295" s="26" t="n">
        <v>1</v>
      </c>
      <c r="K295" s="20" t="n">
        <v>0</v>
      </c>
      <c r="L295" s="20" t="n">
        <v>16.9</v>
      </c>
      <c r="M295" s="20" t="n">
        <v>0.683822222222222</v>
      </c>
      <c r="N295" s="20" t="n">
        <v>382.2</v>
      </c>
      <c r="O295" s="20" t="n">
        <v>0.170955555555556</v>
      </c>
      <c r="P295" s="20" t="n">
        <v>0.341911111111111</v>
      </c>
      <c r="Q295" s="20" t="n">
        <v>382.2</v>
      </c>
      <c r="R295" s="20" t="n">
        <v>0.341911111111111</v>
      </c>
      <c r="S295" s="20" t="n">
        <v>382.2</v>
      </c>
      <c r="U295" s="35"/>
      <c r="V295" s="28" t="n">
        <v>0.223880597014925</v>
      </c>
      <c r="W295" s="29" t="n">
        <f aca="false">D295/C295</f>
        <v>14.3333333333333</v>
      </c>
      <c r="X295" s="35"/>
      <c r="Y295" s="30" t="n">
        <v>7.73245128205128</v>
      </c>
      <c r="Z295" s="30" t="n">
        <v>7.73245128205128</v>
      </c>
      <c r="AA295" s="30" t="n">
        <v>3.86622564102564</v>
      </c>
      <c r="AB295" s="30" t="n">
        <v>15.4649025641026</v>
      </c>
      <c r="AD295" s="28" t="n">
        <v>17.5384647753095</v>
      </c>
      <c r="AE295" s="30" t="n">
        <f aca="false">AD295*1000/C295/D295*145.038/SQRT(145.038*L295)</f>
        <v>3.98290009982356</v>
      </c>
      <c r="AF295" s="32" t="n">
        <f aca="false">AD295*1000/C295/D295</f>
        <v>1.35957091281469</v>
      </c>
    </row>
    <row r="296" customFormat="false" ht="25.5" hidden="false" customHeight="true" outlineLevel="0" collapsed="false">
      <c r="A296" s="55"/>
      <c r="B296" s="25" t="s">
        <v>391</v>
      </c>
      <c r="C296" s="26" t="n">
        <v>30</v>
      </c>
      <c r="D296" s="26" t="n">
        <v>430</v>
      </c>
      <c r="E296" s="26" t="n">
        <v>150</v>
      </c>
      <c r="F296" s="13" t="n">
        <v>0.348837209302326</v>
      </c>
      <c r="G296" s="20" t="n">
        <v>0.348837209302326</v>
      </c>
      <c r="H296" s="26" t="n">
        <v>3</v>
      </c>
      <c r="I296" s="26" t="n">
        <v>1</v>
      </c>
      <c r="J296" s="26" t="n">
        <v>1</v>
      </c>
      <c r="K296" s="20" t="n">
        <v>0</v>
      </c>
      <c r="L296" s="20" t="n">
        <v>16.9</v>
      </c>
      <c r="M296" s="20" t="n">
        <v>0.683822222222222</v>
      </c>
      <c r="N296" s="20" t="n">
        <v>382.2</v>
      </c>
      <c r="O296" s="20" t="n">
        <v>0.170955555555556</v>
      </c>
      <c r="P296" s="20" t="n">
        <v>0.348888888888889</v>
      </c>
      <c r="Q296" s="20" t="n">
        <v>333.2</v>
      </c>
      <c r="R296" s="20" t="n">
        <v>0.348888888888889</v>
      </c>
      <c r="S296" s="20" t="n">
        <v>333.2</v>
      </c>
      <c r="U296" s="35"/>
      <c r="V296" s="28" t="n">
        <v>0.223880597014925</v>
      </c>
      <c r="W296" s="29" t="n">
        <f aca="false">D296/C296</f>
        <v>14.3333333333333</v>
      </c>
      <c r="X296" s="35"/>
      <c r="Y296" s="30" t="n">
        <v>6.87868507560815</v>
      </c>
      <c r="Z296" s="30" t="n">
        <v>6.87868507560815</v>
      </c>
      <c r="AA296" s="30" t="n">
        <v>3.86622564102564</v>
      </c>
      <c r="AB296" s="30" t="n">
        <v>15.4649025641026</v>
      </c>
      <c r="AD296" s="28" t="n">
        <v>19.5259830669795</v>
      </c>
      <c r="AE296" s="30" t="n">
        <f aca="false">AD296*1000/C296/D296*145.038/SQRT(145.038*L296)</f>
        <v>4.43425584296922</v>
      </c>
      <c r="AF296" s="32" t="n">
        <f aca="false">AD296*1000/C296/D296</f>
        <v>1.51364209821546</v>
      </c>
    </row>
    <row r="297" customFormat="false" ht="25.5" hidden="false" customHeight="true" outlineLevel="0" collapsed="false">
      <c r="A297" s="55"/>
      <c r="B297" s="25" t="s">
        <v>392</v>
      </c>
      <c r="C297" s="26" t="n">
        <v>30</v>
      </c>
      <c r="D297" s="26" t="n">
        <v>430</v>
      </c>
      <c r="E297" s="26" t="n">
        <v>150</v>
      </c>
      <c r="F297" s="13" t="n">
        <v>0.348837209302326</v>
      </c>
      <c r="G297" s="20" t="n">
        <v>0.348837209302326</v>
      </c>
      <c r="H297" s="26" t="n">
        <v>3</v>
      </c>
      <c r="I297" s="26" t="n">
        <v>1</v>
      </c>
      <c r="J297" s="26" t="n">
        <v>1</v>
      </c>
      <c r="K297" s="20" t="n">
        <v>0</v>
      </c>
      <c r="L297" s="20" t="n">
        <v>16.9</v>
      </c>
      <c r="M297" s="20" t="n">
        <v>0.683822222222222</v>
      </c>
      <c r="N297" s="20" t="n">
        <v>382.2</v>
      </c>
      <c r="O297" s="20" t="n">
        <v>0.170955555555556</v>
      </c>
      <c r="P297" s="20" t="n">
        <v>0.341911111111111</v>
      </c>
      <c r="Q297" s="20" t="n">
        <v>382.2</v>
      </c>
      <c r="R297" s="20" t="n">
        <v>0.341911111111111</v>
      </c>
      <c r="S297" s="20" t="n">
        <v>382.2</v>
      </c>
      <c r="U297" s="35"/>
      <c r="V297" s="28" t="n">
        <v>0.223880597014925</v>
      </c>
      <c r="W297" s="29" t="n">
        <f aca="false">D297/C297</f>
        <v>14.3333333333333</v>
      </c>
      <c r="X297" s="35"/>
      <c r="Y297" s="30" t="n">
        <v>7.73245128205128</v>
      </c>
      <c r="Z297" s="30" t="n">
        <v>7.73245128205128</v>
      </c>
      <c r="AA297" s="30" t="n">
        <v>3.86622564102564</v>
      </c>
      <c r="AB297" s="30" t="n">
        <v>15.4649025641026</v>
      </c>
      <c r="AD297" s="28" t="n">
        <v>23.5906278036683</v>
      </c>
      <c r="AE297" s="30" t="n">
        <f aca="false">AD297*1000/C297/D297*145.038/SQRT(145.038*L297)</f>
        <v>5.35731690532035</v>
      </c>
      <c r="AF297" s="32" t="n">
        <f aca="false">AD297*1000/C297/D297</f>
        <v>1.82873083749366</v>
      </c>
    </row>
    <row r="298" customFormat="false" ht="25.5" hidden="false" customHeight="true" outlineLevel="0" collapsed="false">
      <c r="A298" s="55"/>
      <c r="B298" s="25" t="s">
        <v>393</v>
      </c>
      <c r="C298" s="26" t="n">
        <v>30</v>
      </c>
      <c r="D298" s="26" t="n">
        <v>430</v>
      </c>
      <c r="E298" s="26" t="n">
        <v>150</v>
      </c>
      <c r="F298" s="13" t="n">
        <v>0.348837209302326</v>
      </c>
      <c r="G298" s="20" t="n">
        <v>0.348837209302326</v>
      </c>
      <c r="H298" s="26" t="n">
        <v>3</v>
      </c>
      <c r="I298" s="26" t="n">
        <v>1</v>
      </c>
      <c r="J298" s="26" t="n">
        <v>1</v>
      </c>
      <c r="K298" s="20" t="n">
        <v>0</v>
      </c>
      <c r="L298" s="20" t="n">
        <v>16.1</v>
      </c>
      <c r="M298" s="20" t="n">
        <v>0.683822222222222</v>
      </c>
      <c r="N298" s="20" t="n">
        <v>382.2</v>
      </c>
      <c r="O298" s="20" t="n">
        <v>0.170955555555556</v>
      </c>
      <c r="P298" s="20" t="n">
        <v>0.341911111111111</v>
      </c>
      <c r="Q298" s="20" t="n">
        <v>382.2</v>
      </c>
      <c r="R298" s="20" t="n">
        <v>0.341911111111111</v>
      </c>
      <c r="S298" s="20" t="n">
        <v>382.2</v>
      </c>
      <c r="U298" s="35"/>
      <c r="V298" s="28" t="n">
        <v>0.223880597014925</v>
      </c>
      <c r="W298" s="29" t="n">
        <f aca="false">D298/C298</f>
        <v>14.3333333333333</v>
      </c>
      <c r="X298" s="35"/>
      <c r="Y298" s="30" t="n">
        <v>8.11667246376811</v>
      </c>
      <c r="Z298" s="30" t="n">
        <v>8.11667246376811</v>
      </c>
      <c r="AA298" s="30" t="n">
        <v>4.05833623188406</v>
      </c>
      <c r="AB298" s="30" t="n">
        <v>16.2333449275362</v>
      </c>
      <c r="AD298" s="28" t="n">
        <v>19.6518585141712</v>
      </c>
      <c r="AE298" s="30" t="n">
        <f aca="false">AD298*1000/C298/D298*145.038/SQRT(145.038*L298)</f>
        <v>4.57237542209153</v>
      </c>
      <c r="AF298" s="32" t="n">
        <f aca="false">AD298*1000/C298/D298</f>
        <v>1.52339988481947</v>
      </c>
    </row>
    <row r="299" customFormat="false" ht="25.5" hidden="false" customHeight="true" outlineLevel="0" collapsed="false">
      <c r="A299" s="55"/>
      <c r="B299" s="25" t="s">
        <v>394</v>
      </c>
      <c r="C299" s="26" t="n">
        <v>30</v>
      </c>
      <c r="D299" s="26" t="n">
        <v>430</v>
      </c>
      <c r="E299" s="26" t="n">
        <v>150</v>
      </c>
      <c r="F299" s="13" t="n">
        <v>0.348837209302326</v>
      </c>
      <c r="G299" s="20" t="n">
        <v>0.348837209302326</v>
      </c>
      <c r="H299" s="26" t="n">
        <v>3</v>
      </c>
      <c r="I299" s="26" t="n">
        <v>1</v>
      </c>
      <c r="J299" s="26" t="n">
        <v>1</v>
      </c>
      <c r="K299" s="20" t="n">
        <v>0</v>
      </c>
      <c r="L299" s="20" t="n">
        <v>16.1</v>
      </c>
      <c r="M299" s="20" t="n">
        <v>0.683822222222222</v>
      </c>
      <c r="N299" s="20" t="n">
        <v>382.2</v>
      </c>
      <c r="O299" s="20" t="n">
        <v>0.170955555555556</v>
      </c>
      <c r="P299" s="20" t="n">
        <v>0.341911111111111</v>
      </c>
      <c r="Q299" s="20" t="n">
        <v>382.2</v>
      </c>
      <c r="R299" s="20" t="n">
        <v>0.341911111111111</v>
      </c>
      <c r="S299" s="20" t="n">
        <v>382.2</v>
      </c>
      <c r="U299" s="35"/>
      <c r="V299" s="28" t="n">
        <v>0.223880597014925</v>
      </c>
      <c r="W299" s="29" t="n">
        <f aca="false">D299/C299</f>
        <v>14.3333333333333</v>
      </c>
      <c r="X299" s="35"/>
      <c r="Y299" s="30" t="n">
        <v>8.11667246376811</v>
      </c>
      <c r="Z299" s="30" t="n">
        <v>8.11667246376811</v>
      </c>
      <c r="AA299" s="30" t="n">
        <v>4.05833623188406</v>
      </c>
      <c r="AB299" s="30" t="n">
        <v>16.2333449275362</v>
      </c>
      <c r="AD299" s="28" t="n">
        <v>21.6473472969046</v>
      </c>
      <c r="AE299" s="30" t="n">
        <f aca="false">AD299*1000/C299/D299*145.038/SQRT(145.038*L299)</f>
        <v>5.03666351263779</v>
      </c>
      <c r="AF299" s="32" t="n">
        <f aca="false">AD299*1000/C299/D299</f>
        <v>1.67808893774455</v>
      </c>
    </row>
    <row r="300" customFormat="false" ht="25.5" hidden="false" customHeight="true" outlineLevel="0" collapsed="false">
      <c r="A300" s="55"/>
      <c r="B300" s="25" t="s">
        <v>395</v>
      </c>
      <c r="C300" s="26" t="n">
        <v>25</v>
      </c>
      <c r="D300" s="26" t="n">
        <v>430</v>
      </c>
      <c r="E300" s="26" t="n">
        <v>150</v>
      </c>
      <c r="F300" s="13" t="n">
        <v>0.348837209302326</v>
      </c>
      <c r="G300" s="20" t="n">
        <v>0.348837209302326</v>
      </c>
      <c r="H300" s="26" t="n">
        <v>3</v>
      </c>
      <c r="I300" s="26" t="n">
        <v>1</v>
      </c>
      <c r="J300" s="26" t="n">
        <v>1</v>
      </c>
      <c r="K300" s="20" t="n">
        <v>0</v>
      </c>
      <c r="L300" s="20" t="n">
        <v>26.5</v>
      </c>
      <c r="M300" s="20" t="n">
        <v>0.707402298850575</v>
      </c>
      <c r="N300" s="20" t="n">
        <v>401.8</v>
      </c>
      <c r="O300" s="20" t="n">
        <v>0.176850574712644</v>
      </c>
      <c r="P300" s="20" t="n">
        <v>0.410293333333333</v>
      </c>
      <c r="Q300" s="20" t="n">
        <v>401.8</v>
      </c>
      <c r="R300" s="20" t="n">
        <v>0.410293333333333</v>
      </c>
      <c r="S300" s="20" t="n">
        <v>401.8</v>
      </c>
      <c r="U300" s="35"/>
      <c r="V300" s="28" t="n">
        <v>0.242339832869081</v>
      </c>
      <c r="W300" s="29" t="n">
        <f aca="false">D300/C300</f>
        <v>17.2</v>
      </c>
      <c r="X300" s="35"/>
      <c r="Y300" s="30" t="n">
        <v>6.22097589937107</v>
      </c>
      <c r="Z300" s="30" t="n">
        <v>6.22097589937107</v>
      </c>
      <c r="AA300" s="30" t="n">
        <v>2.68145512903925</v>
      </c>
      <c r="AB300" s="30" t="n">
        <v>10.725820516157</v>
      </c>
      <c r="AD300" s="28" t="n">
        <v>29.0535628624147</v>
      </c>
      <c r="AE300" s="30" t="n">
        <f aca="false">AD300*1000/C300/D300*145.038/SQRT(145.038*L300)</f>
        <v>6.32279204009887</v>
      </c>
      <c r="AF300" s="32" t="n">
        <f aca="false">AD300*1000/C300/D300</f>
        <v>2.70265701045718</v>
      </c>
    </row>
    <row r="301" customFormat="false" ht="25.5" hidden="false" customHeight="true" outlineLevel="0" collapsed="false">
      <c r="A301" s="55"/>
      <c r="B301" s="25" t="s">
        <v>396</v>
      </c>
      <c r="C301" s="26" t="n">
        <v>23</v>
      </c>
      <c r="D301" s="26" t="n">
        <v>430</v>
      </c>
      <c r="E301" s="26" t="n">
        <v>150</v>
      </c>
      <c r="F301" s="13" t="n">
        <v>0.348837209302326</v>
      </c>
      <c r="G301" s="20" t="n">
        <v>0.348837209302326</v>
      </c>
      <c r="H301" s="26" t="n">
        <v>3</v>
      </c>
      <c r="I301" s="26" t="n">
        <v>1</v>
      </c>
      <c r="J301" s="26" t="n">
        <v>1</v>
      </c>
      <c r="K301" s="20" t="n">
        <v>0</v>
      </c>
      <c r="L301" s="20" t="n">
        <v>17.9</v>
      </c>
      <c r="M301" s="20" t="n">
        <v>0.707402298850575</v>
      </c>
      <c r="N301" s="20" t="n">
        <v>401.8</v>
      </c>
      <c r="O301" s="20" t="n">
        <v>0.176850574712644</v>
      </c>
      <c r="P301" s="20" t="n">
        <v>0.445971014492754</v>
      </c>
      <c r="Q301" s="20" t="n">
        <v>401.8</v>
      </c>
      <c r="R301" s="20" t="n">
        <v>0.445971014492754</v>
      </c>
      <c r="S301" s="20" t="n">
        <v>401.8</v>
      </c>
      <c r="U301" s="35"/>
      <c r="V301" s="28" t="n">
        <v>0.252760023242301</v>
      </c>
      <c r="W301" s="29" t="n">
        <f aca="false">D301/C301</f>
        <v>18.695652173913</v>
      </c>
      <c r="X301" s="35"/>
      <c r="Y301" s="30" t="n">
        <v>10.0106789733625</v>
      </c>
      <c r="Z301" s="30" t="n">
        <v>10.0106789733625</v>
      </c>
      <c r="AA301" s="30" t="n">
        <v>3.96975200667823</v>
      </c>
      <c r="AB301" s="30" t="n">
        <v>15.8790080267129</v>
      </c>
      <c r="AD301" s="28" t="n">
        <v>24.3313455282122</v>
      </c>
      <c r="AE301" s="30" t="n">
        <f aca="false">AD301*1000/C301/D301*145.038/SQRT(145.038*L301)</f>
        <v>7.00300151486572</v>
      </c>
      <c r="AF301" s="32" t="n">
        <f aca="false">AD301*1000/C301/D301</f>
        <v>2.46019671670497</v>
      </c>
    </row>
    <row r="302" customFormat="false" ht="25.5" hidden="false" customHeight="true" outlineLevel="0" collapsed="false">
      <c r="A302" s="55"/>
      <c r="B302" s="25" t="s">
        <v>397</v>
      </c>
      <c r="C302" s="26" t="n">
        <v>25</v>
      </c>
      <c r="D302" s="26" t="n">
        <v>430</v>
      </c>
      <c r="E302" s="26" t="n">
        <v>150</v>
      </c>
      <c r="F302" s="13" t="n">
        <v>0.348837209302326</v>
      </c>
      <c r="G302" s="20" t="n">
        <v>0.348837209302326</v>
      </c>
      <c r="H302" s="26" t="n">
        <v>3</v>
      </c>
      <c r="I302" s="26" t="n">
        <v>1</v>
      </c>
      <c r="J302" s="26" t="n">
        <v>1</v>
      </c>
      <c r="K302" s="20" t="n">
        <v>0</v>
      </c>
      <c r="L302" s="20" t="n">
        <v>17.9</v>
      </c>
      <c r="M302" s="20" t="n">
        <v>0.707402298850575</v>
      </c>
      <c r="N302" s="20" t="n">
        <v>401.8</v>
      </c>
      <c r="O302" s="20" t="n">
        <v>0.176850574712644</v>
      </c>
      <c r="P302" s="20" t="n">
        <v>0.418666666666667</v>
      </c>
      <c r="Q302" s="20" t="n">
        <v>323.4</v>
      </c>
      <c r="R302" s="20" t="n">
        <v>0.418666666666667</v>
      </c>
      <c r="S302" s="20" t="n">
        <v>323.4</v>
      </c>
      <c r="U302" s="35"/>
      <c r="V302" s="28" t="n">
        <v>0.242339832869081</v>
      </c>
      <c r="W302" s="29" t="n">
        <f aca="false">D302/C302</f>
        <v>17.2</v>
      </c>
      <c r="X302" s="35"/>
      <c r="Y302" s="30" t="n">
        <v>7.56406703910615</v>
      </c>
      <c r="Z302" s="30" t="n">
        <v>7.56406703910615</v>
      </c>
      <c r="AA302" s="30" t="n">
        <v>3.96975200667823</v>
      </c>
      <c r="AB302" s="30" t="n">
        <v>15.8790080267129</v>
      </c>
      <c r="AD302" s="28" t="n">
        <v>24.7826668357209</v>
      </c>
      <c r="AE302" s="30" t="n">
        <f aca="false">AD302*1000/C302/D302*145.038/SQRT(145.038*L302)</f>
        <v>6.562267957454</v>
      </c>
      <c r="AF302" s="32" t="n">
        <f aca="false">AD302*1000/C302/D302</f>
        <v>2.30536435681124</v>
      </c>
    </row>
    <row r="303" customFormat="false" ht="25.5" hidden="false" customHeight="true" outlineLevel="0" collapsed="false">
      <c r="A303" s="55"/>
      <c r="B303" s="25" t="s">
        <v>398</v>
      </c>
      <c r="C303" s="26" t="n">
        <v>20</v>
      </c>
      <c r="D303" s="26" t="n">
        <v>430</v>
      </c>
      <c r="E303" s="26" t="n">
        <v>150</v>
      </c>
      <c r="F303" s="13" t="n">
        <v>0.348837209302326</v>
      </c>
      <c r="G303" s="20" t="n">
        <v>0.348837209302326</v>
      </c>
      <c r="H303" s="26" t="n">
        <v>3</v>
      </c>
      <c r="I303" s="26" t="n">
        <v>1</v>
      </c>
      <c r="J303" s="26" t="n">
        <v>1</v>
      </c>
      <c r="K303" s="20" t="n">
        <v>0</v>
      </c>
      <c r="L303" s="20" t="n">
        <v>15.4</v>
      </c>
      <c r="M303" s="20" t="n">
        <v>0.707402298850575</v>
      </c>
      <c r="N303" s="20" t="n">
        <v>401.8</v>
      </c>
      <c r="O303" s="20" t="n">
        <v>0.176850574712644</v>
      </c>
      <c r="P303" s="20" t="n">
        <v>0.523333333333333</v>
      </c>
      <c r="Q303" s="20" t="n">
        <v>323.4</v>
      </c>
      <c r="R303" s="20" t="n">
        <v>0.523333333333333</v>
      </c>
      <c r="S303" s="20" t="n">
        <v>323.4</v>
      </c>
      <c r="U303" s="35"/>
      <c r="V303" s="28" t="n">
        <v>0.270186335403727</v>
      </c>
      <c r="W303" s="29" t="n">
        <f aca="false">D303/C303</f>
        <v>21.5</v>
      </c>
      <c r="X303" s="35"/>
      <c r="Y303" s="30" t="n">
        <v>10.99</v>
      </c>
      <c r="Z303" s="30" t="n">
        <v>10.99</v>
      </c>
      <c r="AA303" s="30" t="n">
        <v>4.61419226750261</v>
      </c>
      <c r="AB303" s="30" t="n">
        <v>18.4567690700105</v>
      </c>
      <c r="AD303" s="28" t="n">
        <v>25.4116477504869</v>
      </c>
      <c r="AE303" s="30" t="n">
        <f aca="false">AD303*1000/C303/D303*145.038/SQRT(145.038*L303)</f>
        <v>9.06807109047314</v>
      </c>
      <c r="AF303" s="32" t="n">
        <f aca="false">AD303*1000/C303/D303</f>
        <v>2.95484276168452</v>
      </c>
    </row>
    <row r="304" customFormat="false" ht="25.5" hidden="false" customHeight="true" outlineLevel="0" collapsed="false">
      <c r="A304" s="55"/>
      <c r="B304" s="25" t="s">
        <v>399</v>
      </c>
      <c r="C304" s="26" t="n">
        <v>27</v>
      </c>
      <c r="D304" s="26" t="n">
        <v>430</v>
      </c>
      <c r="E304" s="26" t="n">
        <v>400</v>
      </c>
      <c r="F304" s="13" t="n">
        <v>0.930232558139535</v>
      </c>
      <c r="G304" s="20" t="n">
        <v>0.930232558139535</v>
      </c>
      <c r="H304" s="26" t="n">
        <v>3</v>
      </c>
      <c r="I304" s="26" t="n">
        <v>1</v>
      </c>
      <c r="J304" s="26" t="n">
        <v>1</v>
      </c>
      <c r="K304" s="20" t="n">
        <v>0</v>
      </c>
      <c r="L304" s="20" t="n">
        <v>14.2</v>
      </c>
      <c r="M304" s="20" t="n">
        <v>0.707402298850575</v>
      </c>
      <c r="N304" s="20" t="n">
        <v>406.994</v>
      </c>
      <c r="O304" s="20" t="n">
        <v>0.176850574712644</v>
      </c>
      <c r="P304" s="20" t="n">
        <v>0.581481481481482</v>
      </c>
      <c r="Q304" s="20" t="n">
        <v>401.8</v>
      </c>
      <c r="R304" s="20" t="n">
        <v>0.581481481481482</v>
      </c>
      <c r="S304" s="20" t="n">
        <v>382.2</v>
      </c>
      <c r="U304" s="35"/>
      <c r="V304" s="28" t="n">
        <v>0.232744783306581</v>
      </c>
      <c r="W304" s="29" t="n">
        <f aca="false">D304/C304</f>
        <v>15.9259259259259</v>
      </c>
      <c r="X304" s="35"/>
      <c r="Y304" s="30" t="n">
        <v>15.6508607198748</v>
      </c>
      <c r="Z304" s="30" t="n">
        <v>16.4534689619197</v>
      </c>
      <c r="AA304" s="30" t="n">
        <v>5.00412400841833</v>
      </c>
      <c r="AB304" s="30" t="n">
        <v>20.2752458604501</v>
      </c>
      <c r="AD304" s="28" t="n">
        <v>25.5047598563066</v>
      </c>
      <c r="AE304" s="30" t="n">
        <f aca="false">AD304*1000/C304/D304*145.038/SQRT(145.038*L304)</f>
        <v>7.02078620155012</v>
      </c>
      <c r="AF304" s="32" t="n">
        <f aca="false">AD304*1000/C304/D304</f>
        <v>2.19679240795061</v>
      </c>
    </row>
    <row r="305" customFormat="false" ht="25.5" hidden="false" customHeight="true" outlineLevel="0" collapsed="false">
      <c r="A305" s="55"/>
      <c r="B305" s="25" t="s">
        <v>400</v>
      </c>
      <c r="C305" s="26" t="n">
        <v>24</v>
      </c>
      <c r="D305" s="26" t="n">
        <v>430</v>
      </c>
      <c r="E305" s="26" t="n">
        <v>400</v>
      </c>
      <c r="F305" s="13" t="n">
        <v>0.930232558139535</v>
      </c>
      <c r="G305" s="20" t="n">
        <v>0.930232558139535</v>
      </c>
      <c r="H305" s="26" t="n">
        <v>3</v>
      </c>
      <c r="I305" s="26" t="n">
        <v>1</v>
      </c>
      <c r="J305" s="26" t="n">
        <v>1</v>
      </c>
      <c r="K305" s="20" t="n">
        <v>0</v>
      </c>
      <c r="L305" s="20" t="n">
        <v>14.2</v>
      </c>
      <c r="M305" s="20" t="n">
        <v>0.707402298850575</v>
      </c>
      <c r="N305" s="20" t="n">
        <v>406.994</v>
      </c>
      <c r="O305" s="20" t="n">
        <v>0.176850574712644</v>
      </c>
      <c r="P305" s="20" t="n">
        <v>0.654166666666667</v>
      </c>
      <c r="Q305" s="20" t="n">
        <v>323.4</v>
      </c>
      <c r="R305" s="20" t="n">
        <v>0.654166666666667</v>
      </c>
      <c r="S305" s="20" t="n">
        <v>382.2</v>
      </c>
      <c r="U305" s="35"/>
      <c r="V305" s="28" t="n">
        <v>0.247440273037543</v>
      </c>
      <c r="W305" s="29" t="n">
        <f aca="false">D305/C305</f>
        <v>17.9166666666667</v>
      </c>
      <c r="X305" s="35"/>
      <c r="Y305" s="30" t="n">
        <v>17.6072183098592</v>
      </c>
      <c r="Z305" s="30" t="n">
        <v>14.8984154929578</v>
      </c>
      <c r="AA305" s="30" t="n">
        <v>5.00412400841833</v>
      </c>
      <c r="AB305" s="30" t="n">
        <v>20.2752458604501</v>
      </c>
      <c r="AD305" s="28" t="n">
        <v>23.7641653101355</v>
      </c>
      <c r="AE305" s="30" t="n">
        <f aca="false">AD305*1000/C305/D305*145.038/SQRT(145.038*L305)</f>
        <v>7.35935235014328</v>
      </c>
      <c r="AF305" s="32" t="n">
        <f aca="false">AD305*1000/C305/D305</f>
        <v>2.30272919671856</v>
      </c>
    </row>
    <row r="306" customFormat="false" ht="25.5" hidden="false" customHeight="true" outlineLevel="0" collapsed="false">
      <c r="A306" s="55"/>
      <c r="B306" s="25" t="s">
        <v>401</v>
      </c>
      <c r="C306" s="26" t="n">
        <v>22</v>
      </c>
      <c r="D306" s="26" t="n">
        <v>430</v>
      </c>
      <c r="E306" s="26" t="n">
        <v>400</v>
      </c>
      <c r="F306" s="13" t="n">
        <v>0.930232558139535</v>
      </c>
      <c r="G306" s="20" t="n">
        <v>0.930232558139535</v>
      </c>
      <c r="H306" s="26" t="n">
        <v>3</v>
      </c>
      <c r="I306" s="26" t="n">
        <v>1</v>
      </c>
      <c r="J306" s="26" t="n">
        <v>1</v>
      </c>
      <c r="K306" s="20" t="n">
        <v>0</v>
      </c>
      <c r="L306" s="20" t="n">
        <v>16.2</v>
      </c>
      <c r="M306" s="20" t="n">
        <v>1.52091494252874</v>
      </c>
      <c r="N306" s="20" t="n">
        <v>406.994</v>
      </c>
      <c r="O306" s="20" t="n">
        <v>0.459811494252874</v>
      </c>
      <c r="P306" s="20" t="n">
        <v>0.466242424242424</v>
      </c>
      <c r="Q306" s="20" t="n">
        <v>323.4</v>
      </c>
      <c r="R306" s="20" t="n">
        <v>0.466242424242424</v>
      </c>
      <c r="S306" s="20" t="n">
        <v>382.2</v>
      </c>
      <c r="U306" s="35"/>
      <c r="V306" s="28" t="n">
        <v>0.258313539192399</v>
      </c>
      <c r="W306" s="29" t="n">
        <f aca="false">D306/C306</f>
        <v>19.5454545454545</v>
      </c>
      <c r="X306" s="35"/>
      <c r="Y306" s="30" t="n">
        <v>10.9998675645342</v>
      </c>
      <c r="Z306" s="30" t="n">
        <v>9.30758024691358</v>
      </c>
      <c r="AA306" s="30" t="n">
        <v>11.4044603944941</v>
      </c>
      <c r="AB306" s="30" t="n">
        <v>38.2100775382432</v>
      </c>
      <c r="AD306" s="28" t="n">
        <v>19.9977587978251</v>
      </c>
      <c r="AE306" s="30" t="n">
        <f aca="false">AD306*1000/C306/D306*145.038/SQRT(145.038*L306)</f>
        <v>6.32519011272121</v>
      </c>
      <c r="AF306" s="32" t="n">
        <f aca="false">AD306*1000/C306/D306</f>
        <v>2.11392799131344</v>
      </c>
    </row>
    <row r="307" customFormat="false" ht="25.5" hidden="false" customHeight="true" outlineLevel="0" collapsed="false">
      <c r="A307" s="55"/>
      <c r="B307" s="25" t="s">
        <v>402</v>
      </c>
      <c r="C307" s="26" t="n">
        <v>16</v>
      </c>
      <c r="D307" s="26" t="n">
        <v>430</v>
      </c>
      <c r="E307" s="26" t="n">
        <v>400</v>
      </c>
      <c r="F307" s="13" t="n">
        <v>0.930232558139535</v>
      </c>
      <c r="G307" s="20" t="n">
        <v>0.930232558139535</v>
      </c>
      <c r="H307" s="26" t="n">
        <v>3</v>
      </c>
      <c r="I307" s="26" t="n">
        <v>1</v>
      </c>
      <c r="J307" s="26" t="n">
        <v>1</v>
      </c>
      <c r="K307" s="20" t="n">
        <v>0</v>
      </c>
      <c r="L307" s="20" t="n">
        <v>13.8</v>
      </c>
      <c r="M307" s="20" t="n">
        <v>1.52091494252874</v>
      </c>
      <c r="N307" s="20" t="n">
        <v>406.994</v>
      </c>
      <c r="O307" s="20" t="n">
        <v>0.459811494252874</v>
      </c>
      <c r="P307" s="20" t="n">
        <v>0.641083333333333</v>
      </c>
      <c r="Q307" s="20" t="n">
        <v>323.4</v>
      </c>
      <c r="R307" s="20" t="n">
        <v>0.641083333333333</v>
      </c>
      <c r="S307" s="20" t="n">
        <v>382.2</v>
      </c>
      <c r="U307" s="35"/>
      <c r="V307" s="28" t="n">
        <v>0.297537619699042</v>
      </c>
      <c r="W307" s="29" t="n">
        <f aca="false">D307/C307</f>
        <v>26.875</v>
      </c>
      <c r="X307" s="35"/>
      <c r="Y307" s="30" t="n">
        <v>17.7552210144928</v>
      </c>
      <c r="Z307" s="30" t="n">
        <v>15.0236485507246</v>
      </c>
      <c r="AA307" s="30" t="n">
        <v>13.3878448109279</v>
      </c>
      <c r="AB307" s="30" t="n">
        <v>44.8553084144594</v>
      </c>
      <c r="AD307" s="28" t="n">
        <v>20.2211229610869</v>
      </c>
      <c r="AE307" s="30" t="n">
        <f aca="false">AD307*1000/C307/D307*145.038/SQRT(145.038*L307)</f>
        <v>9.52836071444193</v>
      </c>
      <c r="AF307" s="32" t="n">
        <f aca="false">AD307*1000/C307/D307</f>
        <v>2.93911670946031</v>
      </c>
    </row>
    <row r="308" customFormat="false" ht="25.5" hidden="false" customHeight="true" outlineLevel="0" collapsed="false">
      <c r="A308" s="55"/>
      <c r="B308" s="25" t="s">
        <v>403</v>
      </c>
      <c r="C308" s="26" t="n">
        <v>22</v>
      </c>
      <c r="D308" s="26" t="n">
        <v>430</v>
      </c>
      <c r="E308" s="26" t="n">
        <v>400</v>
      </c>
      <c r="F308" s="13" t="n">
        <v>0.930232558139535</v>
      </c>
      <c r="G308" s="20" t="n">
        <v>0.930232558139535</v>
      </c>
      <c r="H308" s="26" t="n">
        <v>3</v>
      </c>
      <c r="I308" s="26" t="n">
        <v>1</v>
      </c>
      <c r="J308" s="26" t="n">
        <v>1</v>
      </c>
      <c r="K308" s="20" t="n">
        <v>0</v>
      </c>
      <c r="L308" s="20" t="n">
        <v>17.9</v>
      </c>
      <c r="M308" s="20" t="n">
        <v>1.52091494252874</v>
      </c>
      <c r="N308" s="20" t="n">
        <v>406.994</v>
      </c>
      <c r="O308" s="20" t="n">
        <v>0.459811494252874</v>
      </c>
      <c r="P308" s="20" t="n">
        <v>0.475757575757576</v>
      </c>
      <c r="Q308" s="20" t="n">
        <v>323.4</v>
      </c>
      <c r="R308" s="20" t="n">
        <v>0.475757575757576</v>
      </c>
      <c r="S308" s="20" t="n">
        <v>401.8</v>
      </c>
      <c r="U308" s="35"/>
      <c r="V308" s="28" t="n">
        <v>0.258313539192399</v>
      </c>
      <c r="W308" s="29" t="n">
        <f aca="false">D308/C308</f>
        <v>19.5454545454545</v>
      </c>
      <c r="X308" s="35"/>
      <c r="Y308" s="30" t="n">
        <v>10.6792957508041</v>
      </c>
      <c r="Z308" s="30" t="n">
        <v>8.59553072625698</v>
      </c>
      <c r="AA308" s="30" t="n">
        <v>10.3213552173634</v>
      </c>
      <c r="AB308" s="30" t="n">
        <v>34.5811874927118</v>
      </c>
      <c r="AD308" s="28" t="n">
        <v>25.2185543234458</v>
      </c>
      <c r="AE308" s="30" t="n">
        <f aca="false">AD308*1000/C308/D308*145.038/SQRT(145.038*L308)</f>
        <v>7.5882815445838</v>
      </c>
      <c r="AF308" s="32" t="n">
        <f aca="false">AD308*1000/C308/D308</f>
        <v>2.66580912509998</v>
      </c>
    </row>
    <row r="309" customFormat="false" ht="25.5" hidden="false" customHeight="true" outlineLevel="0" collapsed="false">
      <c r="A309" s="55"/>
      <c r="B309" s="25" t="s">
        <v>404</v>
      </c>
      <c r="C309" s="26" t="n">
        <v>22</v>
      </c>
      <c r="D309" s="26" t="n">
        <v>430</v>
      </c>
      <c r="E309" s="26" t="n">
        <v>400</v>
      </c>
      <c r="F309" s="13" t="n">
        <v>0.930232558139535</v>
      </c>
      <c r="G309" s="20" t="n">
        <v>0.930232558139535</v>
      </c>
      <c r="H309" s="26" t="n">
        <v>3</v>
      </c>
      <c r="I309" s="26" t="n">
        <v>1</v>
      </c>
      <c r="J309" s="26" t="n">
        <v>1</v>
      </c>
      <c r="K309" s="20" t="n">
        <v>0</v>
      </c>
      <c r="L309" s="20" t="n">
        <v>16.8</v>
      </c>
      <c r="M309" s="20" t="n">
        <v>1.52091494252874</v>
      </c>
      <c r="N309" s="20" t="n">
        <v>406.994</v>
      </c>
      <c r="O309" s="20" t="n">
        <v>0.459811494252874</v>
      </c>
      <c r="P309" s="20" t="n">
        <v>0.475757575757576</v>
      </c>
      <c r="Q309" s="20" t="n">
        <v>323.4</v>
      </c>
      <c r="R309" s="20" t="n">
        <v>0.475757575757576</v>
      </c>
      <c r="S309" s="20" t="n">
        <v>401.8</v>
      </c>
      <c r="U309" s="35"/>
      <c r="V309" s="28" t="n">
        <v>0.258313539192399</v>
      </c>
      <c r="W309" s="29" t="n">
        <f aca="false">D309/C309</f>
        <v>19.5454545454545</v>
      </c>
      <c r="X309" s="35"/>
      <c r="Y309" s="30" t="n">
        <v>11.3785353535354</v>
      </c>
      <c r="Z309" s="30" t="n">
        <v>9.15833333333333</v>
      </c>
      <c r="AA309" s="30" t="n">
        <v>10.9971582375479</v>
      </c>
      <c r="AB309" s="30" t="n">
        <v>36.8454319118774</v>
      </c>
      <c r="AD309" s="28" t="n">
        <v>26.1652640428834</v>
      </c>
      <c r="AE309" s="30" t="n">
        <f aca="false">AD309*1000/C309/D309*145.038/SQRT(145.038*L309)</f>
        <v>8.12681260746528</v>
      </c>
      <c r="AF309" s="32" t="n">
        <f aca="false">AD309*1000/C309/D309</f>
        <v>2.76588414829634</v>
      </c>
    </row>
    <row r="310" customFormat="false" ht="25.5" hidden="false" customHeight="true" outlineLevel="0" collapsed="false">
      <c r="A310" s="55"/>
      <c r="B310" s="25" t="s">
        <v>405</v>
      </c>
      <c r="C310" s="26" t="n">
        <v>24</v>
      </c>
      <c r="D310" s="26" t="n">
        <v>430</v>
      </c>
      <c r="E310" s="26" t="n">
        <v>330</v>
      </c>
      <c r="F310" s="13" t="n">
        <v>0.767441860465116</v>
      </c>
      <c r="G310" s="20" t="n">
        <v>0.767441860465116</v>
      </c>
      <c r="H310" s="26" t="n">
        <v>3</v>
      </c>
      <c r="I310" s="26" t="n">
        <v>1</v>
      </c>
      <c r="J310" s="26" t="n">
        <v>1</v>
      </c>
      <c r="K310" s="20" t="n">
        <v>0</v>
      </c>
      <c r="L310" s="20" t="n">
        <v>23.9</v>
      </c>
      <c r="M310" s="20" t="n">
        <v>1.52091494252874</v>
      </c>
      <c r="N310" s="20" t="n">
        <v>406.994</v>
      </c>
      <c r="O310" s="20" t="n">
        <v>0.459811494252874</v>
      </c>
      <c r="P310" s="20" t="n">
        <v>0.654166666666667</v>
      </c>
      <c r="Q310" s="20" t="n">
        <v>323.4</v>
      </c>
      <c r="R310" s="20" t="n">
        <v>0.654166666666667</v>
      </c>
      <c r="S310" s="20" t="n">
        <v>323.4</v>
      </c>
      <c r="U310" s="35"/>
      <c r="V310" s="28" t="n">
        <v>0.247440273037543</v>
      </c>
      <c r="W310" s="29" t="n">
        <f aca="false">D310/C310</f>
        <v>17.9166666666667</v>
      </c>
      <c r="X310" s="35"/>
      <c r="Y310" s="30" t="n">
        <v>8.85177824267782</v>
      </c>
      <c r="Z310" s="30" t="n">
        <v>8.85177824267782</v>
      </c>
      <c r="AA310" s="30" t="n">
        <v>7.73022001635166</v>
      </c>
      <c r="AB310" s="30" t="n">
        <v>25.8997178292695</v>
      </c>
      <c r="AD310" s="28" t="n">
        <v>27.9225907707825</v>
      </c>
      <c r="AE310" s="30" t="n">
        <f aca="false">AD310*1000/C310/D310*145.038/SQRT(145.038*L310)</f>
        <v>6.66527334800044</v>
      </c>
      <c r="AF310" s="32" t="n">
        <f aca="false">AD310*1000/C310/D310</f>
        <v>2.70567740026962</v>
      </c>
    </row>
    <row r="311" customFormat="false" ht="25.5" hidden="false" customHeight="true" outlineLevel="0" collapsed="false">
      <c r="A311" s="55"/>
      <c r="B311" s="25" t="s">
        <v>406</v>
      </c>
      <c r="C311" s="26" t="n">
        <v>23</v>
      </c>
      <c r="D311" s="26" t="n">
        <v>430</v>
      </c>
      <c r="E311" s="26" t="n">
        <v>330</v>
      </c>
      <c r="F311" s="13" t="n">
        <v>0.767441860465116</v>
      </c>
      <c r="G311" s="20" t="n">
        <v>0.767441860465116</v>
      </c>
      <c r="H311" s="26" t="n">
        <v>3</v>
      </c>
      <c r="I311" s="26" t="n">
        <v>1</v>
      </c>
      <c r="J311" s="26" t="n">
        <v>1</v>
      </c>
      <c r="K311" s="20" t="n">
        <v>0</v>
      </c>
      <c r="L311" s="20" t="n">
        <v>16.2</v>
      </c>
      <c r="M311" s="20" t="n">
        <v>1.52091494252874</v>
      </c>
      <c r="N311" s="20" t="n">
        <v>406.994</v>
      </c>
      <c r="O311" s="20" t="n">
        <v>0.459811494252874</v>
      </c>
      <c r="P311" s="20" t="n">
        <v>0.682608695652174</v>
      </c>
      <c r="Q311" s="20" t="n">
        <v>323.4</v>
      </c>
      <c r="R311" s="20" t="n">
        <v>0.682608695652174</v>
      </c>
      <c r="S311" s="20" t="n">
        <v>323.4</v>
      </c>
      <c r="U311" s="35"/>
      <c r="V311" s="28" t="n">
        <v>0.252760023242301</v>
      </c>
      <c r="W311" s="29" t="n">
        <f aca="false">D311/C311</f>
        <v>18.695652173913</v>
      </c>
      <c r="X311" s="35"/>
      <c r="Y311" s="30" t="n">
        <v>13.6268921095008</v>
      </c>
      <c r="Z311" s="30" t="n">
        <v>13.6268921095008</v>
      </c>
      <c r="AA311" s="30" t="n">
        <v>11.4044603944941</v>
      </c>
      <c r="AB311" s="30" t="n">
        <v>38.2100775382432</v>
      </c>
      <c r="AD311" s="28" t="n">
        <v>27.3769538173262</v>
      </c>
      <c r="AE311" s="30" t="n">
        <f aca="false">AD311*1000/C311/D311*145.038/SQRT(145.038*L311)</f>
        <v>8.28270561141127</v>
      </c>
      <c r="AF311" s="32" t="n">
        <f aca="false">AD311*1000/C311/D311</f>
        <v>2.76814497647383</v>
      </c>
    </row>
    <row r="312" customFormat="false" ht="25.5" hidden="false" customHeight="true" outlineLevel="0" collapsed="false">
      <c r="A312" s="55"/>
      <c r="B312" s="25" t="s">
        <v>407</v>
      </c>
      <c r="C312" s="26" t="n">
        <v>23</v>
      </c>
      <c r="D312" s="26" t="n">
        <v>430</v>
      </c>
      <c r="E312" s="26" t="n">
        <v>330</v>
      </c>
      <c r="F312" s="13" t="n">
        <v>0.767441860465116</v>
      </c>
      <c r="G312" s="20" t="n">
        <v>0.767441860465116</v>
      </c>
      <c r="H312" s="26" t="n">
        <v>3</v>
      </c>
      <c r="I312" s="26" t="n">
        <v>1</v>
      </c>
      <c r="J312" s="26" t="n">
        <v>1</v>
      </c>
      <c r="K312" s="20" t="n">
        <v>0</v>
      </c>
      <c r="L312" s="20" t="n">
        <v>15.7</v>
      </c>
      <c r="M312" s="20" t="n">
        <v>1.52091494252874</v>
      </c>
      <c r="N312" s="20" t="n">
        <v>406.994</v>
      </c>
      <c r="O312" s="20" t="n">
        <v>0.389071264367816</v>
      </c>
      <c r="P312" s="20" t="n">
        <v>0.445971014492754</v>
      </c>
      <c r="Q312" s="20" t="n">
        <v>323.4</v>
      </c>
      <c r="R312" s="20" t="n">
        <v>0.445971014492754</v>
      </c>
      <c r="S312" s="20" t="n">
        <v>323.4</v>
      </c>
      <c r="U312" s="35"/>
      <c r="V312" s="28" t="n">
        <v>0.252760023242301</v>
      </c>
      <c r="W312" s="29" t="n">
        <f aca="false">D312/C312</f>
        <v>18.695652173913</v>
      </c>
      <c r="X312" s="35"/>
      <c r="Y312" s="30" t="n">
        <v>9.1864347826087</v>
      </c>
      <c r="Z312" s="30" t="n">
        <v>9.1864347826087</v>
      </c>
      <c r="AA312" s="30" t="n">
        <v>9.95725057471264</v>
      </c>
      <c r="AB312" s="30" t="n">
        <v>39.4269589885058</v>
      </c>
      <c r="AD312" s="28" t="n">
        <v>26.0177404290466</v>
      </c>
      <c r="AE312" s="30" t="n">
        <f aca="false">AD312*1000/C312/D312*145.038/SQRT(145.038*L312)</f>
        <v>7.99584487602122</v>
      </c>
      <c r="AF312" s="32" t="n">
        <f aca="false">AD312*1000/C312/D312</f>
        <v>2.63071187351331</v>
      </c>
    </row>
    <row r="313" customFormat="false" ht="25.5" hidden="false" customHeight="true" outlineLevel="0" collapsed="false">
      <c r="A313" s="55" t="s">
        <v>408</v>
      </c>
      <c r="B313" s="25" t="s">
        <v>409</v>
      </c>
      <c r="C313" s="26" t="n">
        <v>90</v>
      </c>
      <c r="D313" s="26" t="n">
        <v>430</v>
      </c>
      <c r="E313" s="26" t="n">
        <v>725</v>
      </c>
      <c r="F313" s="13" t="n">
        <v>2.79</v>
      </c>
      <c r="G313" s="20" t="n">
        <v>1.68604651162791</v>
      </c>
      <c r="H313" s="26" t="n">
        <v>1</v>
      </c>
      <c r="I313" s="26" t="n">
        <v>2</v>
      </c>
      <c r="J313" s="26" t="n">
        <v>1</v>
      </c>
      <c r="K313" s="28" t="n">
        <v>0.399709302325581</v>
      </c>
      <c r="L313" s="20" t="n">
        <v>32</v>
      </c>
      <c r="M313" s="20" t="n">
        <v>0.890022675736962</v>
      </c>
      <c r="N313" s="20" t="n">
        <v>393</v>
      </c>
      <c r="O313" s="20" t="n">
        <v>1.256</v>
      </c>
      <c r="P313" s="20" t="n">
        <v>1.15931327302935</v>
      </c>
      <c r="Q313" s="20" t="n">
        <v>372</v>
      </c>
      <c r="R313" s="20" t="n">
        <v>2.90740740740741</v>
      </c>
      <c r="S313" s="20" t="n">
        <v>393</v>
      </c>
      <c r="U313" s="35"/>
      <c r="V313" s="28" t="n">
        <v>0.455813953488372</v>
      </c>
      <c r="W313" s="29" t="n">
        <f aca="false">D313/C313</f>
        <v>4.77777777777778</v>
      </c>
      <c r="X313" s="35"/>
      <c r="Y313" s="30" t="n">
        <v>35.7065972222222</v>
      </c>
      <c r="Z313" s="30" t="n">
        <v>13.4770167989662</v>
      </c>
      <c r="AA313" s="30" t="n">
        <v>14.601</v>
      </c>
      <c r="AB313" s="30" t="n">
        <v>10.9305909863946</v>
      </c>
      <c r="AD313" s="20" t="n">
        <v>95</v>
      </c>
      <c r="AE313" s="30" t="n">
        <f aca="false">AD313*1000/C313/D313*145.038/SQRT(145.038*L313)</f>
        <v>5.22611006904167</v>
      </c>
      <c r="AF313" s="32" t="n">
        <f aca="false">AD313*1000/C313/D313</f>
        <v>2.45478036175711</v>
      </c>
    </row>
    <row r="314" customFormat="false" ht="25.5" hidden="false" customHeight="true" outlineLevel="0" collapsed="false">
      <c r="A314" s="55"/>
      <c r="B314" s="25" t="s">
        <v>410</v>
      </c>
      <c r="C314" s="26" t="n">
        <v>90</v>
      </c>
      <c r="D314" s="26" t="n">
        <v>430</v>
      </c>
      <c r="E314" s="26" t="n">
        <v>725</v>
      </c>
      <c r="F314" s="13" t="n">
        <v>2.79</v>
      </c>
      <c r="G314" s="20" t="n">
        <v>1.68604651162791</v>
      </c>
      <c r="H314" s="26" t="n">
        <v>1</v>
      </c>
      <c r="I314" s="26" t="n">
        <v>2</v>
      </c>
      <c r="J314" s="26" t="n">
        <v>1</v>
      </c>
      <c r="K314" s="28" t="n">
        <v>0.399920492943749</v>
      </c>
      <c r="L314" s="20" t="n">
        <v>32.5</v>
      </c>
      <c r="M314" s="20" t="n">
        <v>0</v>
      </c>
      <c r="N314" s="20" t="n">
        <v>393</v>
      </c>
      <c r="O314" s="20" t="n">
        <v>0</v>
      </c>
      <c r="P314" s="20" t="n">
        <v>1.15931327302935</v>
      </c>
      <c r="Q314" s="20" t="n">
        <v>372</v>
      </c>
      <c r="R314" s="20" t="n">
        <v>2.90740740740741</v>
      </c>
      <c r="S314" s="20" t="n">
        <v>393</v>
      </c>
      <c r="U314" s="35"/>
      <c r="V314" s="28" t="n">
        <v>0</v>
      </c>
      <c r="W314" s="29" t="n">
        <f aca="false">D314/C314</f>
        <v>4.77777777777778</v>
      </c>
      <c r="X314" s="35"/>
      <c r="Y314" s="30" t="n">
        <v>35.157264957265</v>
      </c>
      <c r="Z314" s="30" t="n">
        <v>13.2696780789821</v>
      </c>
      <c r="AA314" s="30" t="n">
        <v>0</v>
      </c>
      <c r="AB314" s="30" t="n">
        <v>0</v>
      </c>
      <c r="AD314" s="20" t="n">
        <v>101</v>
      </c>
      <c r="AE314" s="30" t="n">
        <f aca="false">AD314*1000/C314/D314*145.038/SQRT(145.038*L314)</f>
        <v>5.51327467032463</v>
      </c>
      <c r="AF314" s="32" t="n">
        <f aca="false">AD314*1000/C314/D314</f>
        <v>2.60981912144703</v>
      </c>
    </row>
    <row r="315" customFormat="false" ht="25.5" hidden="false" customHeight="true" outlineLevel="0" collapsed="false">
      <c r="A315" s="55"/>
      <c r="B315" s="25" t="s">
        <v>411</v>
      </c>
      <c r="C315" s="26" t="n">
        <v>90</v>
      </c>
      <c r="D315" s="26" t="n">
        <v>430</v>
      </c>
      <c r="E315" s="26" t="n">
        <v>725</v>
      </c>
      <c r="F315" s="13" t="n">
        <v>2.79</v>
      </c>
      <c r="G315" s="20" t="n">
        <v>1.68604651162791</v>
      </c>
      <c r="H315" s="26" t="n">
        <v>1</v>
      </c>
      <c r="I315" s="26" t="n">
        <v>2</v>
      </c>
      <c r="J315" s="26" t="n">
        <v>1</v>
      </c>
      <c r="K315" s="28" t="n">
        <v>0.399955061229075</v>
      </c>
      <c r="L315" s="20" t="n">
        <v>34.5</v>
      </c>
      <c r="M315" s="20" t="n">
        <v>10.9027777777778</v>
      </c>
      <c r="N315" s="20" t="n">
        <v>393</v>
      </c>
      <c r="O315" s="20" t="n">
        <v>1.256</v>
      </c>
      <c r="P315" s="20" t="n">
        <v>1.15931327302935</v>
      </c>
      <c r="Q315" s="20" t="n">
        <v>372</v>
      </c>
      <c r="R315" s="20" t="n">
        <v>2.90740740740741</v>
      </c>
      <c r="S315" s="20" t="n">
        <v>393</v>
      </c>
      <c r="U315" s="35"/>
      <c r="V315" s="28" t="n">
        <v>0.0372093023255814</v>
      </c>
      <c r="W315" s="29" t="n">
        <f aca="false">D315/C315</f>
        <v>4.77777777777778</v>
      </c>
      <c r="X315" s="35"/>
      <c r="Y315" s="30" t="n">
        <v>33.1191626409018</v>
      </c>
      <c r="Z315" s="30" t="n">
        <v>12.5004213787513</v>
      </c>
      <c r="AA315" s="30" t="n">
        <v>13.5429565217391</v>
      </c>
      <c r="AB315" s="30" t="n">
        <v>124.196859903382</v>
      </c>
      <c r="AD315" s="20" t="n">
        <v>102</v>
      </c>
      <c r="AE315" s="30" t="n">
        <f aca="false">AD315*1000/C315/D315*145.038/SQRT(145.038*L315)</f>
        <v>5.40406495462185</v>
      </c>
      <c r="AF315" s="32" t="n">
        <f aca="false">AD315*1000/C315/D315</f>
        <v>2.63565891472868</v>
      </c>
    </row>
    <row r="316" customFormat="false" ht="25.5" hidden="false" customHeight="true" outlineLevel="0" collapsed="false">
      <c r="A316" s="55"/>
      <c r="B316" s="25" t="s">
        <v>412</v>
      </c>
      <c r="C316" s="26" t="n">
        <v>90</v>
      </c>
      <c r="D316" s="26" t="n">
        <v>430</v>
      </c>
      <c r="E316" s="26" t="n">
        <v>725</v>
      </c>
      <c r="F316" s="13" t="n">
        <v>2.79</v>
      </c>
      <c r="G316" s="20" t="n">
        <v>1.68604651162791</v>
      </c>
      <c r="H316" s="26" t="n">
        <v>1</v>
      </c>
      <c r="I316" s="26" t="n">
        <v>2</v>
      </c>
      <c r="J316" s="26" t="n">
        <v>1</v>
      </c>
      <c r="K316" s="28" t="n">
        <v>0.400219786747453</v>
      </c>
      <c r="L316" s="20" t="n">
        <v>34.8</v>
      </c>
      <c r="M316" s="20" t="n">
        <v>10.9027777777778</v>
      </c>
      <c r="N316" s="20" t="n">
        <v>393</v>
      </c>
      <c r="O316" s="20" t="n">
        <v>0</v>
      </c>
      <c r="P316" s="20" t="n">
        <v>1.15931327302935</v>
      </c>
      <c r="Q316" s="20" t="n">
        <v>372</v>
      </c>
      <c r="R316" s="20" t="n">
        <v>2.90740740740741</v>
      </c>
      <c r="S316" s="20" t="n">
        <v>393</v>
      </c>
      <c r="U316" s="35"/>
      <c r="V316" s="28" t="n">
        <v>0.0372093023255814</v>
      </c>
      <c r="W316" s="29" t="n">
        <f aca="false">D316/C316</f>
        <v>4.77777777777778</v>
      </c>
      <c r="X316" s="35"/>
      <c r="Y316" s="30" t="n">
        <v>32.8336526181354</v>
      </c>
      <c r="Z316" s="30" t="n">
        <v>12.3926591254862</v>
      </c>
      <c r="AA316" s="30" t="n">
        <v>0</v>
      </c>
      <c r="AB316" s="30" t="n">
        <v>123.126197318008</v>
      </c>
      <c r="AD316" s="20" t="n">
        <v>110</v>
      </c>
      <c r="AE316" s="30" t="n">
        <f aca="false">AD316*1000/C316/D316*145.038/SQRT(145.038*L316)</f>
        <v>5.80273849766653</v>
      </c>
      <c r="AF316" s="32" t="n">
        <f aca="false">AD316*1000/C316/D316</f>
        <v>2.84237726098191</v>
      </c>
    </row>
    <row r="317" customFormat="false" ht="25.5" hidden="false" customHeight="true" outlineLevel="0" collapsed="false">
      <c r="A317" s="55"/>
      <c r="B317" s="25" t="s">
        <v>413</v>
      </c>
      <c r="C317" s="26" t="n">
        <v>90</v>
      </c>
      <c r="D317" s="26" t="n">
        <v>430</v>
      </c>
      <c r="E317" s="26" t="n">
        <v>725</v>
      </c>
      <c r="F317" s="13" t="n">
        <v>2.79</v>
      </c>
      <c r="G317" s="20" t="n">
        <v>1.68604651162791</v>
      </c>
      <c r="H317" s="26" t="n">
        <v>1</v>
      </c>
      <c r="I317" s="26" t="n">
        <v>2</v>
      </c>
      <c r="J317" s="26" t="n">
        <v>1</v>
      </c>
      <c r="K317" s="28" t="n">
        <v>0.19993131194191</v>
      </c>
      <c r="L317" s="20" t="n">
        <v>63.2</v>
      </c>
      <c r="M317" s="20" t="n">
        <v>0.890022675736962</v>
      </c>
      <c r="N317" s="20" t="n">
        <v>393</v>
      </c>
      <c r="O317" s="20" t="n">
        <v>0</v>
      </c>
      <c r="P317" s="20" t="n">
        <v>1.15931327302935</v>
      </c>
      <c r="Q317" s="20" t="n">
        <v>372</v>
      </c>
      <c r="R317" s="20" t="n">
        <v>2.90740740740741</v>
      </c>
      <c r="S317" s="20" t="n">
        <v>393</v>
      </c>
      <c r="U317" s="35"/>
      <c r="V317" s="28" t="n">
        <v>0.455813953488372</v>
      </c>
      <c r="W317" s="29" t="n">
        <f aca="false">D317/C317</f>
        <v>4.77777777777778</v>
      </c>
      <c r="X317" s="35"/>
      <c r="Y317" s="30" t="n">
        <v>18.0792897327707</v>
      </c>
      <c r="Z317" s="30" t="n">
        <v>6.82380597416011</v>
      </c>
      <c r="AA317" s="30" t="n">
        <v>0</v>
      </c>
      <c r="AB317" s="30" t="n">
        <v>5.53447644880737</v>
      </c>
      <c r="AD317" s="20" t="n">
        <v>108</v>
      </c>
      <c r="AE317" s="30" t="n">
        <f aca="false">AD317*1000/C317/D317*145.038/SQRT(145.038*L317)</f>
        <v>4.22761229762025</v>
      </c>
      <c r="AF317" s="32" t="n">
        <f aca="false">AD317*1000/C317/D317</f>
        <v>2.7906976744186</v>
      </c>
    </row>
    <row r="318" customFormat="false" ht="25.5" hidden="false" customHeight="true" outlineLevel="0" collapsed="false">
      <c r="A318" s="55"/>
      <c r="B318" s="25" t="s">
        <v>414</v>
      </c>
      <c r="C318" s="26" t="n">
        <v>90</v>
      </c>
      <c r="D318" s="26" t="n">
        <v>430</v>
      </c>
      <c r="E318" s="26" t="n">
        <v>725</v>
      </c>
      <c r="F318" s="13" t="n">
        <v>2.79</v>
      </c>
      <c r="G318" s="20" t="n">
        <v>1.68604651162791</v>
      </c>
      <c r="H318" s="26" t="n">
        <v>1</v>
      </c>
      <c r="I318" s="26" t="n">
        <v>2</v>
      </c>
      <c r="J318" s="26" t="n">
        <v>1</v>
      </c>
      <c r="K318" s="28" t="n">
        <v>0.199805253107731</v>
      </c>
      <c r="L318" s="20" t="n">
        <v>61.3</v>
      </c>
      <c r="M318" s="20" t="n">
        <v>0</v>
      </c>
      <c r="N318" s="20" t="n">
        <v>393</v>
      </c>
      <c r="O318" s="20" t="n">
        <v>0</v>
      </c>
      <c r="P318" s="20" t="n">
        <v>1.15931327302935</v>
      </c>
      <c r="Q318" s="20" t="n">
        <v>372</v>
      </c>
      <c r="R318" s="20" t="n">
        <v>2.90740740740741</v>
      </c>
      <c r="S318" s="20" t="n">
        <v>393</v>
      </c>
      <c r="U318" s="35"/>
      <c r="V318" s="28" t="n">
        <v>0</v>
      </c>
      <c r="W318" s="29" t="n">
        <f aca="false">D318/C318</f>
        <v>4.77777777777778</v>
      </c>
      <c r="X318" s="35"/>
      <c r="Y318" s="30" t="n">
        <v>18.6396592350915</v>
      </c>
      <c r="Z318" s="30" t="n">
        <v>7.03531056389754</v>
      </c>
      <c r="AA318" s="30" t="n">
        <v>0</v>
      </c>
      <c r="AB318" s="30" t="n">
        <v>0</v>
      </c>
      <c r="AD318" s="20" t="n">
        <v>114</v>
      </c>
      <c r="AE318" s="30" t="n">
        <f aca="false">AD318*1000/C318/D318*145.038/SQRT(145.038*L318)</f>
        <v>4.53110942374194</v>
      </c>
      <c r="AF318" s="32" t="n">
        <f aca="false">AD318*1000/C318/D318</f>
        <v>2.94573643410853</v>
      </c>
    </row>
    <row r="319" customFormat="false" ht="25.5" hidden="false" customHeight="true" outlineLevel="0" collapsed="false">
      <c r="A319" s="55"/>
      <c r="B319" s="25" t="s">
        <v>415</v>
      </c>
      <c r="C319" s="26" t="n">
        <v>90</v>
      </c>
      <c r="D319" s="26" t="n">
        <v>430</v>
      </c>
      <c r="E319" s="26" t="n">
        <v>725</v>
      </c>
      <c r="F319" s="13" t="n">
        <v>2.79</v>
      </c>
      <c r="G319" s="20" t="n">
        <v>1.68604651162791</v>
      </c>
      <c r="H319" s="26" t="n">
        <v>1</v>
      </c>
      <c r="I319" s="26" t="n">
        <v>2</v>
      </c>
      <c r="J319" s="26" t="n">
        <v>1</v>
      </c>
      <c r="K319" s="28" t="n">
        <v>0.1999984000128</v>
      </c>
      <c r="L319" s="20" t="n">
        <v>64.6</v>
      </c>
      <c r="M319" s="20" t="n">
        <v>10.9027777777778</v>
      </c>
      <c r="N319" s="20" t="n">
        <v>393</v>
      </c>
      <c r="O319" s="20" t="n">
        <v>1.256</v>
      </c>
      <c r="P319" s="20" t="n">
        <v>1.15931327302935</v>
      </c>
      <c r="Q319" s="20" t="n">
        <v>372</v>
      </c>
      <c r="R319" s="20" t="n">
        <v>2.90740740740741</v>
      </c>
      <c r="S319" s="20" t="n">
        <v>393</v>
      </c>
      <c r="U319" s="35"/>
      <c r="V319" s="28" t="n">
        <v>0.0372093023255814</v>
      </c>
      <c r="W319" s="29" t="n">
        <f aca="false">D319/C319</f>
        <v>4.77777777777778</v>
      </c>
      <c r="X319" s="35"/>
      <c r="Y319" s="30" t="n">
        <v>17.687478500172</v>
      </c>
      <c r="Z319" s="30" t="n">
        <v>6.67592163416283</v>
      </c>
      <c r="AA319" s="30" t="n">
        <v>7.23269349845201</v>
      </c>
      <c r="AB319" s="30" t="n">
        <v>66.328044375645</v>
      </c>
      <c r="AD319" s="20" t="n">
        <v>125</v>
      </c>
      <c r="AE319" s="30" t="n">
        <f aca="false">AD319*1000/C319/D319*145.038/SQRT(145.038*L319)</f>
        <v>4.83975848842742</v>
      </c>
      <c r="AF319" s="32" t="n">
        <f aca="false">AD319*1000/C319/D319</f>
        <v>3.22997416020672</v>
      </c>
    </row>
    <row r="320" customFormat="false" ht="25.5" hidden="false" customHeight="true" outlineLevel="0" collapsed="false">
      <c r="A320" s="55"/>
      <c r="B320" s="25" t="s">
        <v>416</v>
      </c>
      <c r="C320" s="26" t="n">
        <v>90</v>
      </c>
      <c r="D320" s="26" t="n">
        <v>430</v>
      </c>
      <c r="E320" s="26" t="n">
        <v>725</v>
      </c>
      <c r="F320" s="13" t="n">
        <v>2.79</v>
      </c>
      <c r="G320" s="20" t="n">
        <v>1.68604651162791</v>
      </c>
      <c r="H320" s="26" t="n">
        <v>1</v>
      </c>
      <c r="I320" s="26" t="n">
        <v>2</v>
      </c>
      <c r="J320" s="26" t="n">
        <v>1</v>
      </c>
      <c r="K320" s="28" t="n">
        <v>0.19986819971212</v>
      </c>
      <c r="L320" s="20" t="n">
        <v>59.6</v>
      </c>
      <c r="M320" s="20" t="n">
        <v>10.9027777777778</v>
      </c>
      <c r="N320" s="20" t="n">
        <v>393</v>
      </c>
      <c r="O320" s="20" t="n">
        <v>0</v>
      </c>
      <c r="P320" s="20" t="n">
        <v>1.15931327302935</v>
      </c>
      <c r="Q320" s="20" t="n">
        <v>372</v>
      </c>
      <c r="R320" s="20" t="n">
        <v>2.90740740740741</v>
      </c>
      <c r="S320" s="20" t="n">
        <v>393</v>
      </c>
      <c r="U320" s="35"/>
      <c r="V320" s="28" t="n">
        <v>0.0372093023255814</v>
      </c>
      <c r="W320" s="29" t="n">
        <f aca="false">D320/C320</f>
        <v>4.77777777777778</v>
      </c>
      <c r="X320" s="35"/>
      <c r="Y320" s="30" t="n">
        <v>19.1713273676361</v>
      </c>
      <c r="Z320" s="30" t="n">
        <v>7.23598217394159</v>
      </c>
      <c r="AA320" s="30" t="n">
        <v>0</v>
      </c>
      <c r="AB320" s="30" t="n">
        <v>71.8924776286354</v>
      </c>
      <c r="AD320" s="20" t="n">
        <v>121</v>
      </c>
      <c r="AE320" s="30" t="n">
        <f aca="false">AD320*1000/C320/D320*145.038/SQRT(145.038*L320)</f>
        <v>4.87744270695947</v>
      </c>
      <c r="AF320" s="32" t="n">
        <f aca="false">AD320*1000/C320/D320</f>
        <v>3.1266149870801</v>
      </c>
    </row>
    <row r="321" customFormat="false" ht="25.5" hidden="false" customHeight="true" outlineLevel="0" collapsed="false">
      <c r="A321" s="55"/>
      <c r="B321" s="25" t="s">
        <v>417</v>
      </c>
      <c r="C321" s="26" t="n">
        <v>90</v>
      </c>
      <c r="D321" s="26" t="n">
        <v>430</v>
      </c>
      <c r="E321" s="26" t="n">
        <v>725</v>
      </c>
      <c r="F321" s="13" t="n">
        <v>2.79</v>
      </c>
      <c r="G321" s="20" t="n">
        <v>1.68604651162791</v>
      </c>
      <c r="H321" s="26" t="n">
        <v>1</v>
      </c>
      <c r="I321" s="26" t="n">
        <v>2</v>
      </c>
      <c r="J321" s="26" t="n">
        <v>1</v>
      </c>
      <c r="K321" s="28" t="n">
        <v>0.266096940125783</v>
      </c>
      <c r="L321" s="20" t="n">
        <v>53.7</v>
      </c>
      <c r="M321" s="20" t="n">
        <v>10.9027777777778</v>
      </c>
      <c r="N321" s="20" t="n">
        <v>393</v>
      </c>
      <c r="O321" s="20" t="n">
        <v>1.256</v>
      </c>
      <c r="P321" s="20" t="n">
        <v>1.15931327302935</v>
      </c>
      <c r="Q321" s="20" t="n">
        <v>372</v>
      </c>
      <c r="R321" s="20" t="n">
        <v>2.90740740740741</v>
      </c>
      <c r="S321" s="20" t="n">
        <v>393</v>
      </c>
      <c r="U321" s="35"/>
      <c r="V321" s="28" t="n">
        <v>0.0372093023255814</v>
      </c>
      <c r="W321" s="29" t="n">
        <f aca="false">D321/C321</f>
        <v>4.77777777777778</v>
      </c>
      <c r="X321" s="35"/>
      <c r="Y321" s="30" t="n">
        <v>21.2776743223671</v>
      </c>
      <c r="Z321" s="30" t="n">
        <v>8.0309969751754</v>
      </c>
      <c r="AA321" s="30" t="n">
        <v>8.70078212290503</v>
      </c>
      <c r="AB321" s="30" t="n">
        <v>79.7912787088765</v>
      </c>
      <c r="AD321" s="20" t="n">
        <v>116</v>
      </c>
      <c r="AE321" s="30" t="n">
        <f aca="false">AD321*1000/C321/D321*145.038/SQRT(145.038*L321)</f>
        <v>4.92607230997871</v>
      </c>
      <c r="AF321" s="32" t="n">
        <f aca="false">AD321*1000/C321/D321</f>
        <v>2.99741602067183</v>
      </c>
    </row>
    <row r="322" customFormat="false" ht="25.5" hidden="false" customHeight="true" outlineLevel="0" collapsed="false">
      <c r="A322" s="55"/>
      <c r="B322" s="25" t="s">
        <v>418</v>
      </c>
      <c r="C322" s="26" t="n">
        <v>90</v>
      </c>
      <c r="D322" s="26" t="n">
        <v>430</v>
      </c>
      <c r="E322" s="26" t="n">
        <v>725</v>
      </c>
      <c r="F322" s="13" t="n">
        <v>2.79</v>
      </c>
      <c r="G322" s="20" t="n">
        <v>1.68604651162791</v>
      </c>
      <c r="H322" s="26" t="n">
        <v>1</v>
      </c>
      <c r="I322" s="26" t="n">
        <v>2</v>
      </c>
      <c r="J322" s="26" t="n">
        <v>1</v>
      </c>
      <c r="K322" s="28" t="n">
        <v>0.396507172770204</v>
      </c>
      <c r="L322" s="20" t="n">
        <v>34.8</v>
      </c>
      <c r="M322" s="20" t="n">
        <v>27.9111111111111</v>
      </c>
      <c r="N322" s="20" t="n">
        <v>393</v>
      </c>
      <c r="O322" s="20" t="n">
        <v>1.256</v>
      </c>
      <c r="P322" s="20" t="n">
        <v>1.15931327302935</v>
      </c>
      <c r="Q322" s="20" t="n">
        <v>372</v>
      </c>
      <c r="R322" s="20" t="n">
        <v>2.90740740740741</v>
      </c>
      <c r="S322" s="20" t="n">
        <v>393</v>
      </c>
      <c r="U322" s="35"/>
      <c r="V322" s="28" t="n">
        <v>0.0372093023255814</v>
      </c>
      <c r="W322" s="29" t="n">
        <f aca="false">D322/C322</f>
        <v>4.77777777777778</v>
      </c>
      <c r="X322" s="35"/>
      <c r="Y322" s="30" t="n">
        <v>32.8336526181354</v>
      </c>
      <c r="Z322" s="30" t="n">
        <v>12.3926591254862</v>
      </c>
      <c r="AA322" s="30" t="n">
        <v>13.4262068965517</v>
      </c>
      <c r="AB322" s="30" t="n">
        <v>315.2030651341</v>
      </c>
      <c r="AD322" s="20" t="n">
        <v>114</v>
      </c>
      <c r="AE322" s="30" t="n">
        <f aca="false">AD322*1000/C322/D322*145.038/SQRT(145.038*L322)</f>
        <v>6.01374717030895</v>
      </c>
      <c r="AF322" s="32" t="n">
        <f aca="false">AD322*1000/C322/D322</f>
        <v>2.94573643410853</v>
      </c>
    </row>
    <row r="323" customFormat="false" ht="25.5" hidden="false" customHeight="true" outlineLevel="0" collapsed="false">
      <c r="A323" s="55"/>
      <c r="B323" s="25" t="s">
        <v>419</v>
      </c>
      <c r="C323" s="26" t="n">
        <v>90</v>
      </c>
      <c r="D323" s="26" t="n">
        <v>430</v>
      </c>
      <c r="E323" s="26" t="n">
        <v>725</v>
      </c>
      <c r="F323" s="13" t="n">
        <v>2.79</v>
      </c>
      <c r="G323" s="20" t="n">
        <v>1.68604651162791</v>
      </c>
      <c r="H323" s="26" t="n">
        <v>1</v>
      </c>
      <c r="I323" s="26" t="n">
        <v>2</v>
      </c>
      <c r="J323" s="26" t="n">
        <v>1</v>
      </c>
      <c r="K323" s="28" t="n">
        <v>0.195601719258496</v>
      </c>
      <c r="L323" s="20" t="n">
        <v>60.9</v>
      </c>
      <c r="M323" s="20" t="n">
        <v>27.9111111111111</v>
      </c>
      <c r="N323" s="20" t="n">
        <v>393</v>
      </c>
      <c r="O323" s="20" t="n">
        <v>1.256</v>
      </c>
      <c r="P323" s="20" t="n">
        <v>1.15931327302935</v>
      </c>
      <c r="Q323" s="20" t="n">
        <v>372</v>
      </c>
      <c r="R323" s="20" t="n">
        <v>2.90740740740741</v>
      </c>
      <c r="S323" s="20" t="n">
        <v>393</v>
      </c>
      <c r="U323" s="35"/>
      <c r="V323" s="28" t="n">
        <v>0.0372093023255814</v>
      </c>
      <c r="W323" s="29" t="n">
        <f aca="false">D323/C323</f>
        <v>4.77777777777778</v>
      </c>
      <c r="X323" s="35"/>
      <c r="Y323" s="30" t="n">
        <v>18.7620872103631</v>
      </c>
      <c r="Z323" s="30" t="n">
        <v>7.08151950027782</v>
      </c>
      <c r="AA323" s="30" t="n">
        <v>7.67211822660099</v>
      </c>
      <c r="AB323" s="30" t="n">
        <v>180.116037219486</v>
      </c>
      <c r="AD323" s="20" t="n">
        <v>122</v>
      </c>
      <c r="AE323" s="30" t="n">
        <f aca="false">AD323*1000/C323/D323*145.038/SQRT(145.038*L323)</f>
        <v>4.86498068709578</v>
      </c>
      <c r="AF323" s="32" t="n">
        <f aca="false">AD323*1000/C323/D323</f>
        <v>3.15245478036176</v>
      </c>
    </row>
    <row r="324" customFormat="false" ht="25.5" hidden="false" customHeight="true" outlineLevel="0" collapsed="false">
      <c r="A324" s="33" t="s">
        <v>420</v>
      </c>
      <c r="B324" s="34" t="s">
        <v>421</v>
      </c>
      <c r="C324" s="26" t="n">
        <v>102</v>
      </c>
      <c r="D324" s="26" t="n">
        <v>2388</v>
      </c>
      <c r="E324" s="26" t="n">
        <v>4384</v>
      </c>
      <c r="F324" s="20" t="n">
        <v>1.84</v>
      </c>
      <c r="G324" s="20" t="n">
        <v>1.8358458961474</v>
      </c>
      <c r="H324" s="26" t="n">
        <v>2</v>
      </c>
      <c r="I324" s="26" t="n">
        <v>2</v>
      </c>
      <c r="J324" s="26" t="n">
        <v>1</v>
      </c>
      <c r="K324" s="20" t="n">
        <v>0.07</v>
      </c>
      <c r="L324" s="20" t="n">
        <v>35.45</v>
      </c>
      <c r="M324" s="20" t="n">
        <v>3.51398102796206</v>
      </c>
      <c r="N324" s="20" t="n">
        <v>444</v>
      </c>
      <c r="O324" s="20" t="n">
        <v>0.376365504863363</v>
      </c>
      <c r="P324" s="20" t="n">
        <v>0.816645059339525</v>
      </c>
      <c r="Q324" s="20" t="n">
        <v>507</v>
      </c>
      <c r="R324" s="20" t="n">
        <v>0.816645059339525</v>
      </c>
      <c r="S324" s="20" t="n">
        <v>507</v>
      </c>
      <c r="U324" s="35"/>
      <c r="V324" s="28" t="n">
        <v>0.201114741015985</v>
      </c>
      <c r="W324" s="29" t="n">
        <f aca="false">D324/C324</f>
        <v>23.4117647058824</v>
      </c>
      <c r="X324" s="35"/>
      <c r="Y324" s="30" t="n">
        <v>11.6795217231351</v>
      </c>
      <c r="Z324" s="30" t="n">
        <v>11.6795217231351</v>
      </c>
      <c r="AA324" s="30" t="n">
        <v>4.67139131565246</v>
      </c>
      <c r="AB324" s="30" t="n">
        <v>44.0114972190452</v>
      </c>
      <c r="AD324" s="28" t="n">
        <v>999.7497908</v>
      </c>
      <c r="AE324" s="30" t="n">
        <f aca="false">AD324*1000/C324/D324*145.038/SQRT(145.038*L324)</f>
        <v>8.30213152187422</v>
      </c>
      <c r="AF324" s="32" t="n">
        <f aca="false">AD324*1000/C324/D324</f>
        <v>4.10446756166453</v>
      </c>
    </row>
    <row r="325" customFormat="false" ht="25.5" hidden="false" customHeight="true" outlineLevel="0" collapsed="false">
      <c r="A325" s="33"/>
      <c r="B325" s="34" t="s">
        <v>422</v>
      </c>
      <c r="C325" s="26" t="n">
        <v>114</v>
      </c>
      <c r="D325" s="26" t="n">
        <v>2412</v>
      </c>
      <c r="E325" s="26" t="n">
        <v>3847</v>
      </c>
      <c r="F325" s="20" t="n">
        <v>1.59</v>
      </c>
      <c r="G325" s="20" t="n">
        <v>1.59494195688226</v>
      </c>
      <c r="H325" s="26" t="n">
        <v>1</v>
      </c>
      <c r="I325" s="26" t="n">
        <v>2</v>
      </c>
      <c r="J325" s="26" t="n">
        <v>1</v>
      </c>
      <c r="K325" s="20" t="n">
        <v>0.06</v>
      </c>
      <c r="L325" s="20" t="n">
        <v>34.68</v>
      </c>
      <c r="M325" s="20" t="n">
        <v>5.61561544991511</v>
      </c>
      <c r="N325" s="20" t="n">
        <v>482</v>
      </c>
      <c r="O325" s="20" t="n">
        <v>1.6771375128999</v>
      </c>
      <c r="P325" s="20" t="n">
        <v>0.544430039559684</v>
      </c>
      <c r="Q325" s="20" t="n">
        <v>507</v>
      </c>
      <c r="R325" s="20" t="n">
        <v>0.544430039559684</v>
      </c>
      <c r="S325" s="20" t="n">
        <v>507</v>
      </c>
      <c r="U325" s="35"/>
      <c r="V325" s="28" t="n">
        <v>0.115671641791045</v>
      </c>
      <c r="W325" s="29" t="n">
        <f aca="false">D325/C325</f>
        <v>21.1578947368421</v>
      </c>
      <c r="X325" s="35"/>
      <c r="Y325" s="30" t="n">
        <v>7.95922808698845</v>
      </c>
      <c r="Z325" s="30" t="n">
        <v>7.95922808698845</v>
      </c>
      <c r="AA325" s="30" t="n">
        <v>21.278561294001</v>
      </c>
      <c r="AB325" s="30" t="n">
        <v>78.0486345691777</v>
      </c>
      <c r="AD325" s="28" t="n">
        <v>917.64353136</v>
      </c>
      <c r="AE325" s="30" t="n">
        <f aca="false">AD325*1000/C325/D325*145.038/SQRT(145.038*L325)</f>
        <v>6.8248515536509</v>
      </c>
      <c r="AF325" s="32" t="n">
        <f aca="false">AD325*1000/C325/D325</f>
        <v>3.33727390590905</v>
      </c>
    </row>
    <row r="326" customFormat="false" ht="25.5" hidden="false" customHeight="true" outlineLevel="0" collapsed="false">
      <c r="A326" s="42" t="s">
        <v>423</v>
      </c>
      <c r="B326" s="25" t="s">
        <v>424</v>
      </c>
      <c r="C326" s="26" t="n">
        <v>100</v>
      </c>
      <c r="D326" s="26" t="n">
        <v>1500</v>
      </c>
      <c r="E326" s="26" t="n">
        <v>2005</v>
      </c>
      <c r="F326" s="20" t="n">
        <v>1.33666666666667</v>
      </c>
      <c r="G326" s="20" t="n">
        <v>1.33666666666667</v>
      </c>
      <c r="H326" s="26" t="n">
        <v>1</v>
      </c>
      <c r="I326" s="26" t="n">
        <v>1</v>
      </c>
      <c r="J326" s="26" t="n">
        <v>1</v>
      </c>
      <c r="K326" s="20" t="n">
        <v>0</v>
      </c>
      <c r="L326" s="20" t="n">
        <v>21.9</v>
      </c>
      <c r="M326" s="20" t="n">
        <v>0</v>
      </c>
      <c r="N326" s="20" t="n">
        <v>0</v>
      </c>
      <c r="O326" s="28" t="n">
        <v>0</v>
      </c>
      <c r="P326" s="20" t="n">
        <v>0.189417302499951</v>
      </c>
      <c r="Q326" s="20" t="n">
        <v>415</v>
      </c>
      <c r="R326" s="20" t="n">
        <v>3</v>
      </c>
      <c r="S326" s="20" t="n">
        <v>452</v>
      </c>
      <c r="U326" s="27" t="s">
        <v>425</v>
      </c>
      <c r="V326" s="28" t="n">
        <v>0</v>
      </c>
      <c r="W326" s="29" t="n">
        <f aca="false">D326/C326</f>
        <v>15</v>
      </c>
      <c r="X326" s="35"/>
      <c r="Y326" s="30" t="n">
        <v>61.9178082191781</v>
      </c>
      <c r="Z326" s="30" t="n">
        <v>3.58941463641459</v>
      </c>
      <c r="AA326" s="30" t="n">
        <v>0</v>
      </c>
      <c r="AB326" s="30" t="n">
        <v>0</v>
      </c>
      <c r="AD326" s="28" t="n">
        <v>341</v>
      </c>
      <c r="AE326" s="30" t="n">
        <f aca="false">AD326*1000/C326/D326*145.038/SQRT(145.038*L326)</f>
        <v>5.85035154910347</v>
      </c>
      <c r="AF326" s="32" t="n">
        <f aca="false">AD326*1000/C326/D326</f>
        <v>2.27333333333333</v>
      </c>
    </row>
    <row r="327" customFormat="false" ht="25.5" hidden="false" customHeight="true" outlineLevel="0" collapsed="false">
      <c r="A327" s="42"/>
      <c r="B327" s="25" t="s">
        <v>426</v>
      </c>
      <c r="C327" s="26" t="n">
        <v>140</v>
      </c>
      <c r="D327" s="26" t="n">
        <v>2100</v>
      </c>
      <c r="E327" s="26" t="n">
        <v>2005</v>
      </c>
      <c r="F327" s="20" t="n">
        <v>0.954761904761905</v>
      </c>
      <c r="G327" s="20" t="n">
        <v>0.954761904761905</v>
      </c>
      <c r="H327" s="26" t="n">
        <v>1</v>
      </c>
      <c r="I327" s="26" t="n">
        <v>1</v>
      </c>
      <c r="J327" s="26" t="n">
        <v>1</v>
      </c>
      <c r="K327" s="20" t="n">
        <v>0</v>
      </c>
      <c r="L327" s="20" t="n">
        <v>17.6</v>
      </c>
      <c r="M327" s="20" t="n">
        <v>0</v>
      </c>
      <c r="N327" s="20" t="n">
        <v>0</v>
      </c>
      <c r="O327" s="28" t="n">
        <v>0</v>
      </c>
      <c r="P327" s="20" t="n">
        <v>0.225496788690418</v>
      </c>
      <c r="Q327" s="20" t="n">
        <v>415</v>
      </c>
      <c r="R327" s="20" t="n">
        <v>3</v>
      </c>
      <c r="S327" s="20" t="n">
        <v>452</v>
      </c>
      <c r="U327" s="27" t="s">
        <v>425</v>
      </c>
      <c r="V327" s="28" t="n">
        <v>0</v>
      </c>
      <c r="W327" s="29" t="n">
        <f aca="false">D327/C327</f>
        <v>15</v>
      </c>
      <c r="X327" s="35"/>
      <c r="Y327" s="30" t="n">
        <v>77.0454545454545</v>
      </c>
      <c r="Z327" s="30" t="n">
        <v>5.31711177877973</v>
      </c>
      <c r="AA327" s="30" t="n">
        <v>0</v>
      </c>
      <c r="AB327" s="30" t="n">
        <v>0</v>
      </c>
      <c r="AD327" s="28" t="n">
        <v>1020</v>
      </c>
      <c r="AE327" s="30" t="n">
        <f aca="false">AD327*1000/C327/D327*145.038/SQRT(145.038*L327)</f>
        <v>9.95949708097456</v>
      </c>
      <c r="AF327" s="32" t="n">
        <f aca="false">AD327*1000/C327/D327</f>
        <v>3.46938775510204</v>
      </c>
    </row>
    <row r="328" customFormat="false" ht="25.5" hidden="false" customHeight="true" outlineLevel="0" collapsed="false">
      <c r="A328" s="13" t="s">
        <v>338</v>
      </c>
      <c r="B328" s="49" t="s">
        <v>427</v>
      </c>
      <c r="C328" s="13" t="n">
        <v>120</v>
      </c>
      <c r="D328" s="13" t="n">
        <v>1500</v>
      </c>
      <c r="E328" s="13" t="n">
        <v>750</v>
      </c>
      <c r="F328" s="13" t="n">
        <v>0.5</v>
      </c>
      <c r="G328" s="13" t="n">
        <v>0.5</v>
      </c>
      <c r="H328" s="13" t="n">
        <v>1</v>
      </c>
      <c r="I328" s="13" t="n">
        <v>1</v>
      </c>
      <c r="J328" s="13" t="n">
        <v>1</v>
      </c>
      <c r="K328" s="13" t="n">
        <v>0</v>
      </c>
      <c r="L328" s="13" t="n">
        <v>19.3</v>
      </c>
      <c r="M328" s="13" t="n">
        <v>5.15</v>
      </c>
      <c r="N328" s="13" t="n">
        <v>440</v>
      </c>
      <c r="O328" s="13" t="n">
        <v>0</v>
      </c>
      <c r="P328" s="13" t="n">
        <v>0.68</v>
      </c>
      <c r="Q328" s="13" t="n">
        <v>481</v>
      </c>
      <c r="R328" s="13" t="n">
        <v>0.68</v>
      </c>
      <c r="S328" s="13" t="n">
        <v>481</v>
      </c>
      <c r="U328" s="27" t="s">
        <v>89</v>
      </c>
      <c r="V328" s="28" t="n">
        <v>0.0866666666666667</v>
      </c>
      <c r="W328" s="29" t="n">
        <f aca="false">D328/C328</f>
        <v>12.5</v>
      </c>
      <c r="X328" s="35"/>
      <c r="Y328" s="30" t="n">
        <v>16.9471502590674</v>
      </c>
      <c r="Z328" s="30" t="n">
        <v>16.9471502590674</v>
      </c>
      <c r="AA328" s="30" t="n">
        <v>0</v>
      </c>
      <c r="AB328" s="30" t="n">
        <v>117.409326424871</v>
      </c>
      <c r="AD328" s="41" t="n">
        <v>799</v>
      </c>
      <c r="AE328" s="30" t="n">
        <f aca="false">AD328*1000/C328/D328*145.038/SQRT(145.038*L328)</f>
        <v>12.1684852754747</v>
      </c>
      <c r="AF328" s="32" t="n">
        <f aca="false">AD328*1000/C328/D328</f>
        <v>4.43888888888889</v>
      </c>
    </row>
    <row r="329" customFormat="false" ht="25.5" hidden="false" customHeight="true" outlineLevel="0" collapsed="false">
      <c r="A329" s="24" t="s">
        <v>428</v>
      </c>
      <c r="B329" s="25" t="s">
        <v>204</v>
      </c>
      <c r="C329" s="26" t="n">
        <v>100</v>
      </c>
      <c r="D329" s="26" t="n">
        <v>700</v>
      </c>
      <c r="E329" s="26" t="n">
        <v>800</v>
      </c>
      <c r="F329" s="20" t="n">
        <v>1.14</v>
      </c>
      <c r="G329" s="20" t="n">
        <v>1</v>
      </c>
      <c r="H329" s="26" t="n">
        <v>1</v>
      </c>
      <c r="I329" s="26" t="n">
        <v>1</v>
      </c>
      <c r="J329" s="26" t="n">
        <v>1</v>
      </c>
      <c r="K329" s="20" t="n">
        <v>0.133</v>
      </c>
      <c r="L329" s="20" t="n">
        <v>50.07</v>
      </c>
      <c r="M329" s="20" t="n">
        <v>4.52</v>
      </c>
      <c r="N329" s="20" t="n">
        <v>409</v>
      </c>
      <c r="O329" s="28" t="n">
        <v>0.376991118430775</v>
      </c>
      <c r="P329" s="43" t="n">
        <v>0.282743338823081</v>
      </c>
      <c r="Q329" s="20" t="n">
        <v>315.9</v>
      </c>
      <c r="R329" s="20" t="n">
        <v>0.32</v>
      </c>
      <c r="S329" s="20" t="n">
        <v>270</v>
      </c>
      <c r="U329" s="27" t="s">
        <v>429</v>
      </c>
      <c r="V329" s="28" t="n">
        <v>0.285714285714286</v>
      </c>
      <c r="W329" s="29" t="n">
        <f aca="false">D329/C329</f>
        <v>7</v>
      </c>
      <c r="X329" s="35"/>
      <c r="Y329" s="30" t="n">
        <v>1.725584182145</v>
      </c>
      <c r="Z329" s="30" t="n">
        <v>1.78387498969865</v>
      </c>
      <c r="AA329" s="30" t="n">
        <v>2.03290597116655</v>
      </c>
      <c r="AB329" s="30" t="n">
        <v>36.9219093269423</v>
      </c>
      <c r="AD329" s="28" t="n">
        <v>330.35</v>
      </c>
      <c r="AE329" s="30" t="n">
        <f aca="false">AD329*1000/C329/D329*145.038/SQRT(145.038*L329)</f>
        <v>8.03208649572632</v>
      </c>
      <c r="AF329" s="32" t="n">
        <f aca="false">AD329*1000/C329/D329</f>
        <v>4.71928571428571</v>
      </c>
    </row>
    <row r="330" customFormat="false" ht="25.5" hidden="false" customHeight="true" outlineLevel="0" collapsed="false">
      <c r="A330" s="13" t="s">
        <v>430</v>
      </c>
      <c r="B330" s="34" t="s">
        <v>431</v>
      </c>
      <c r="C330" s="26" t="n">
        <v>152</v>
      </c>
      <c r="D330" s="26" t="n">
        <v>1370</v>
      </c>
      <c r="E330" s="26" t="n">
        <v>1220</v>
      </c>
      <c r="F330" s="20" t="n">
        <v>0.44</v>
      </c>
      <c r="G330" s="20" t="n">
        <v>0.89051094890511</v>
      </c>
      <c r="H330" s="26" t="n">
        <v>1</v>
      </c>
      <c r="I330" s="26" t="n">
        <v>1</v>
      </c>
      <c r="J330" s="26" t="n">
        <v>2</v>
      </c>
      <c r="K330" s="20" t="n">
        <v>0.05</v>
      </c>
      <c r="L330" s="20" t="n">
        <v>31.9</v>
      </c>
      <c r="M330" s="20" t="n">
        <v>1.36374383223684</v>
      </c>
      <c r="N330" s="20" t="n">
        <v>424</v>
      </c>
      <c r="O330" s="20" t="n">
        <v>0</v>
      </c>
      <c r="P330" s="20" t="n">
        <v>0.286162640207075</v>
      </c>
      <c r="Q330" s="20" t="n">
        <v>424</v>
      </c>
      <c r="R330" s="20" t="n">
        <v>0.2644836523126</v>
      </c>
      <c r="S330" s="20" t="n">
        <v>424</v>
      </c>
      <c r="U330" s="48" t="s">
        <v>89</v>
      </c>
      <c r="V330" s="28" t="n">
        <v>0.0934306569343066</v>
      </c>
      <c r="W330" s="29" t="n">
        <f aca="false">D330/C330</f>
        <v>9.01315789473684</v>
      </c>
      <c r="X330" s="35"/>
      <c r="Y330" s="30" t="n">
        <v>3.51539399939004</v>
      </c>
      <c r="Z330" s="30" t="n">
        <v>3.80354104852037</v>
      </c>
      <c r="AA330" s="30" t="n">
        <v>0</v>
      </c>
      <c r="AB330" s="30" t="n">
        <v>18.1262503093549</v>
      </c>
      <c r="AD330" s="28" t="n">
        <v>655.15</v>
      </c>
      <c r="AE330" s="30" t="n">
        <f aca="false">AD330*1000/C330/D330*145.038/SQRT(145.038*L330)</f>
        <v>6.70844942445028</v>
      </c>
      <c r="AF330" s="32" t="n">
        <f aca="false">AD330*1000/C330/D330</f>
        <v>3.14612946600077</v>
      </c>
    </row>
    <row r="331" customFormat="false" ht="25.5" hidden="false" customHeight="true" outlineLevel="0" collapsed="false">
      <c r="A331" s="57" t="s">
        <v>149</v>
      </c>
      <c r="B331" s="34" t="s">
        <v>432</v>
      </c>
      <c r="C331" s="26" t="n">
        <v>120</v>
      </c>
      <c r="D331" s="26" t="n">
        <v>1720</v>
      </c>
      <c r="E331" s="26" t="n">
        <v>1080</v>
      </c>
      <c r="F331" s="20" t="n">
        <v>0.8</v>
      </c>
      <c r="G331" s="20" t="n">
        <v>0.627906976744186</v>
      </c>
      <c r="H331" s="26" t="n">
        <v>2</v>
      </c>
      <c r="I331" s="26" t="n">
        <v>1</v>
      </c>
      <c r="J331" s="26" t="n">
        <v>2</v>
      </c>
      <c r="K331" s="20" t="n">
        <v>0.04</v>
      </c>
      <c r="L331" s="20" t="n">
        <v>82.3</v>
      </c>
      <c r="M331" s="20" t="n">
        <v>0.89118008125</v>
      </c>
      <c r="N331" s="20" t="n">
        <v>560</v>
      </c>
      <c r="O331" s="29" t="n">
        <v>0.118824010833333</v>
      </c>
      <c r="P331" s="29" t="n">
        <v>0.792160072222222</v>
      </c>
      <c r="Q331" s="20" t="n">
        <v>560</v>
      </c>
      <c r="R331" s="20" t="n">
        <v>0.792160072222222</v>
      </c>
      <c r="S331" s="20" t="n">
        <v>560</v>
      </c>
      <c r="U331" s="35"/>
      <c r="V331" s="28" t="n">
        <v>0.25974025974026</v>
      </c>
      <c r="W331" s="29" t="n">
        <f aca="false">D331/C331</f>
        <v>14.3333333333333</v>
      </c>
      <c r="X331" s="35"/>
      <c r="Y331" s="30" t="n">
        <v>5.39015358984744</v>
      </c>
      <c r="Z331" s="30" t="n">
        <v>5.39015358984744</v>
      </c>
      <c r="AA331" s="30" t="n">
        <v>0.808523038477116</v>
      </c>
      <c r="AB331" s="30" t="n">
        <v>6.06392278857837</v>
      </c>
      <c r="AD331" s="28" t="n">
        <v>1516</v>
      </c>
      <c r="AE331" s="30" t="n">
        <f aca="false">AD331*1000/C331/D331*145.038/SQRT(145.038*L331)</f>
        <v>9.75058094443592</v>
      </c>
      <c r="AF331" s="32" t="n">
        <f aca="false">AD331*1000/C331/D331</f>
        <v>7.34496124031008</v>
      </c>
    </row>
    <row r="332" customFormat="false" ht="25.5" hidden="false" customHeight="true" outlineLevel="0" collapsed="false">
      <c r="A332" s="57"/>
      <c r="B332" s="34" t="s">
        <v>433</v>
      </c>
      <c r="C332" s="26" t="n">
        <v>120</v>
      </c>
      <c r="D332" s="26" t="n">
        <v>1720</v>
      </c>
      <c r="E332" s="26" t="n">
        <v>1080</v>
      </c>
      <c r="F332" s="20" t="n">
        <v>0.8</v>
      </c>
      <c r="G332" s="20" t="n">
        <v>0.627906976744186</v>
      </c>
      <c r="H332" s="26" t="n">
        <v>2</v>
      </c>
      <c r="I332" s="26" t="n">
        <v>1</v>
      </c>
      <c r="J332" s="26" t="n">
        <v>2</v>
      </c>
      <c r="K332" s="20" t="n">
        <v>0.04</v>
      </c>
      <c r="L332" s="20" t="n">
        <v>82.3</v>
      </c>
      <c r="M332" s="20" t="n">
        <v>1.18824010833333</v>
      </c>
      <c r="N332" s="20" t="n">
        <v>347</v>
      </c>
      <c r="O332" s="29" t="n">
        <v>0.17823601625</v>
      </c>
      <c r="P332" s="29" t="n">
        <v>1.18824010833333</v>
      </c>
      <c r="Q332" s="20" t="n">
        <v>347</v>
      </c>
      <c r="R332" s="20" t="n">
        <v>1.18824010833333</v>
      </c>
      <c r="S332" s="20" t="n">
        <v>347</v>
      </c>
      <c r="U332" s="35"/>
      <c r="V332" s="28" t="n">
        <v>0.25974025974026</v>
      </c>
      <c r="W332" s="29" t="n">
        <f aca="false">D332/C332</f>
        <v>14.3333333333333</v>
      </c>
      <c r="X332" s="35"/>
      <c r="Y332" s="30" t="n">
        <v>5.00995525627785</v>
      </c>
      <c r="Z332" s="30" t="n">
        <v>5.00995525627785</v>
      </c>
      <c r="AA332" s="30" t="n">
        <v>0.751493288441677</v>
      </c>
      <c r="AB332" s="30" t="n">
        <v>5.00995525627785</v>
      </c>
      <c r="AD332" s="28" t="n">
        <v>1479</v>
      </c>
      <c r="AE332" s="30" t="n">
        <f aca="false">AD332*1000/C332/D332*145.038/SQRT(145.038*L332)</f>
        <v>9.51260502428808</v>
      </c>
      <c r="AF332" s="32" t="n">
        <f aca="false">AD332*1000/C332/D332</f>
        <v>7.1656976744186</v>
      </c>
    </row>
    <row r="333" customFormat="false" ht="25.5" hidden="false" customHeight="true" outlineLevel="0" collapsed="false">
      <c r="A333" s="57"/>
      <c r="B333" s="34" t="s">
        <v>434</v>
      </c>
      <c r="C333" s="26" t="n">
        <v>120</v>
      </c>
      <c r="D333" s="26" t="n">
        <v>1720</v>
      </c>
      <c r="E333" s="26" t="n">
        <v>1080</v>
      </c>
      <c r="F333" s="20" t="n">
        <v>0.8</v>
      </c>
      <c r="G333" s="20" t="n">
        <v>0.627906976744186</v>
      </c>
      <c r="H333" s="26" t="n">
        <v>2</v>
      </c>
      <c r="I333" s="26" t="n">
        <v>1</v>
      </c>
      <c r="J333" s="26" t="n">
        <v>2</v>
      </c>
      <c r="K333" s="20" t="n">
        <v>0.04</v>
      </c>
      <c r="L333" s="20" t="n">
        <v>82.3</v>
      </c>
      <c r="M333" s="20" t="n">
        <v>0.89118008125</v>
      </c>
      <c r="N333" s="20" t="n">
        <v>792</v>
      </c>
      <c r="O333" s="29" t="n">
        <v>0.137104627884615</v>
      </c>
      <c r="P333" s="29" t="n">
        <v>0.914030852564103</v>
      </c>
      <c r="Q333" s="20" t="n">
        <v>792</v>
      </c>
      <c r="R333" s="20" t="n">
        <v>0.914030852564103</v>
      </c>
      <c r="S333" s="20" t="n">
        <v>792</v>
      </c>
      <c r="U333" s="35"/>
      <c r="V333" s="28" t="n">
        <v>0.25974025974026</v>
      </c>
      <c r="W333" s="29" t="n">
        <f aca="false">D333/C333</f>
        <v>14.3333333333333</v>
      </c>
      <c r="X333" s="35"/>
      <c r="Y333" s="30" t="n">
        <v>8.79601986914665</v>
      </c>
      <c r="Z333" s="30" t="n">
        <v>8.79601986914665</v>
      </c>
      <c r="AA333" s="30" t="n">
        <v>1.319402980372</v>
      </c>
      <c r="AB333" s="30" t="n">
        <v>8.57611937241798</v>
      </c>
      <c r="AD333" s="28" t="n">
        <v>2066</v>
      </c>
      <c r="AE333" s="30" t="n">
        <f aca="false">AD333*1000/C333/D333*145.038/SQRT(145.038*L333)</f>
        <v>13.2880608385255</v>
      </c>
      <c r="AF333" s="32" t="n">
        <f aca="false">AD333*1000/C333/D333</f>
        <v>10.0096899224806</v>
      </c>
    </row>
    <row r="334" customFormat="false" ht="25.5" hidden="false" customHeight="true" outlineLevel="0" collapsed="false">
      <c r="A334" s="57"/>
      <c r="B334" s="34" t="s">
        <v>435</v>
      </c>
      <c r="C334" s="26" t="n">
        <v>120</v>
      </c>
      <c r="D334" s="26" t="n">
        <v>1720</v>
      </c>
      <c r="E334" s="26" t="n">
        <v>1080</v>
      </c>
      <c r="F334" s="20" t="n">
        <v>0.8</v>
      </c>
      <c r="G334" s="20" t="n">
        <v>0.627906976744186</v>
      </c>
      <c r="H334" s="26" t="n">
        <v>2</v>
      </c>
      <c r="I334" s="26" t="n">
        <v>1</v>
      </c>
      <c r="J334" s="26" t="n">
        <v>2</v>
      </c>
      <c r="K334" s="20" t="n">
        <v>0.04</v>
      </c>
      <c r="L334" s="20" t="n">
        <v>101.8</v>
      </c>
      <c r="M334" s="20" t="n">
        <v>0.89118008125</v>
      </c>
      <c r="N334" s="20" t="n">
        <v>792</v>
      </c>
      <c r="O334" s="29" t="n">
        <v>0.137104627884615</v>
      </c>
      <c r="P334" s="29" t="n">
        <v>0.914030852564103</v>
      </c>
      <c r="Q334" s="20" t="n">
        <v>792</v>
      </c>
      <c r="R334" s="20" t="n">
        <v>0.914030852564103</v>
      </c>
      <c r="S334" s="20" t="n">
        <v>792</v>
      </c>
      <c r="U334" s="35"/>
      <c r="V334" s="28" t="n">
        <v>0.25974025974026</v>
      </c>
      <c r="W334" s="29" t="n">
        <f aca="false">D334/C334</f>
        <v>14.3333333333333</v>
      </c>
      <c r="X334" s="35"/>
      <c r="Y334" s="30" t="n">
        <v>7.11112411818044</v>
      </c>
      <c r="Z334" s="30" t="n">
        <v>7.11112411818044</v>
      </c>
      <c r="AA334" s="30" t="n">
        <v>1.06666861772707</v>
      </c>
      <c r="AB334" s="30" t="n">
        <v>6.93334601522593</v>
      </c>
      <c r="AD334" s="28" t="n">
        <v>2128</v>
      </c>
      <c r="AE334" s="30" t="n">
        <f aca="false">AD334*1000/C334/D334*145.038/SQRT(145.038*L334)</f>
        <v>12.3063409424975</v>
      </c>
      <c r="AF334" s="32" t="n">
        <f aca="false">AD334*1000/C334/D334</f>
        <v>10.3100775193798</v>
      </c>
    </row>
    <row r="335" customFormat="false" ht="25.5" hidden="false" customHeight="true" outlineLevel="0" collapsed="false">
      <c r="A335" s="57"/>
      <c r="B335" s="34" t="s">
        <v>436</v>
      </c>
      <c r="C335" s="26" t="n">
        <v>120</v>
      </c>
      <c r="D335" s="26" t="n">
        <v>1720</v>
      </c>
      <c r="E335" s="26" t="n">
        <v>1080</v>
      </c>
      <c r="F335" s="20" t="n">
        <v>0.8</v>
      </c>
      <c r="G335" s="20" t="n">
        <v>0.627906976744186</v>
      </c>
      <c r="H335" s="26" t="n">
        <v>2</v>
      </c>
      <c r="I335" s="26" t="n">
        <v>1</v>
      </c>
      <c r="J335" s="26" t="n">
        <v>2</v>
      </c>
      <c r="K335" s="20" t="n">
        <v>0.03</v>
      </c>
      <c r="L335" s="20" t="n">
        <v>101.8</v>
      </c>
      <c r="M335" s="20" t="n">
        <v>1.18824010833333</v>
      </c>
      <c r="N335" s="20" t="n">
        <v>792</v>
      </c>
      <c r="O335" s="29" t="n">
        <v>0.17823601625</v>
      </c>
      <c r="P335" s="29" t="n">
        <v>1.18824010833333</v>
      </c>
      <c r="Q335" s="20" t="n">
        <v>792</v>
      </c>
      <c r="R335" s="20" t="n">
        <v>1.18824010833333</v>
      </c>
      <c r="S335" s="20" t="n">
        <v>792</v>
      </c>
      <c r="U335" s="35"/>
      <c r="V335" s="28" t="n">
        <v>0.25974025974026</v>
      </c>
      <c r="W335" s="29" t="n">
        <f aca="false">D335/C335</f>
        <v>14.3333333333333</v>
      </c>
      <c r="X335" s="35"/>
      <c r="Y335" s="30" t="n">
        <v>9.24446135363458</v>
      </c>
      <c r="Z335" s="30" t="n">
        <v>9.24446135363458</v>
      </c>
      <c r="AA335" s="30" t="n">
        <v>1.38666920304519</v>
      </c>
      <c r="AB335" s="30" t="n">
        <v>9.24446135363458</v>
      </c>
      <c r="AD335" s="28" t="n">
        <v>2483</v>
      </c>
      <c r="AE335" s="30" t="n">
        <f aca="false">AD335*1000/C335/D335*145.038/SQRT(145.038*L335)</f>
        <v>14.3593254512318</v>
      </c>
      <c r="AF335" s="32" t="n">
        <f aca="false">AD335*1000/C335/D335</f>
        <v>12.0300387596899</v>
      </c>
    </row>
  </sheetData>
  <autoFilter ref="A1:W335">
    <filterColumn colId="3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mergeCells count="77">
    <mergeCell ref="A1:A4"/>
    <mergeCell ref="B1:B4"/>
    <mergeCell ref="C1:E3"/>
    <mergeCell ref="F1:F4"/>
    <mergeCell ref="G1:G4"/>
    <mergeCell ref="H1:H4"/>
    <mergeCell ref="I1:I4"/>
    <mergeCell ref="J1:J4"/>
    <mergeCell ref="K1:K4"/>
    <mergeCell ref="L1:L3"/>
    <mergeCell ref="M1:S1"/>
    <mergeCell ref="U1:U4"/>
    <mergeCell ref="V1:V4"/>
    <mergeCell ref="W1:W4"/>
    <mergeCell ref="Y1:Y4"/>
    <mergeCell ref="Z1:Z4"/>
    <mergeCell ref="AA1:AA4"/>
    <mergeCell ref="AB1:AB4"/>
    <mergeCell ref="AD1:AD2"/>
    <mergeCell ref="M2:O2"/>
    <mergeCell ref="P2:S2"/>
    <mergeCell ref="M3:N3"/>
    <mergeCell ref="P3:Q3"/>
    <mergeCell ref="R3:S3"/>
    <mergeCell ref="A6:A8"/>
    <mergeCell ref="A10:A12"/>
    <mergeCell ref="A13:A20"/>
    <mergeCell ref="A21:A32"/>
    <mergeCell ref="A33:A40"/>
    <mergeCell ref="A41:A44"/>
    <mergeCell ref="A45:A49"/>
    <mergeCell ref="A52:A57"/>
    <mergeCell ref="A58:A60"/>
    <mergeCell ref="A61:A62"/>
    <mergeCell ref="A63:A66"/>
    <mergeCell ref="A67:A80"/>
    <mergeCell ref="A81:A94"/>
    <mergeCell ref="A95:A100"/>
    <mergeCell ref="A101:A102"/>
    <mergeCell ref="A104:A125"/>
    <mergeCell ref="A126:A128"/>
    <mergeCell ref="A129:A134"/>
    <mergeCell ref="A135:A136"/>
    <mergeCell ref="A137:A144"/>
    <mergeCell ref="A146:A149"/>
    <mergeCell ref="A151:A152"/>
    <mergeCell ref="A154:A165"/>
    <mergeCell ref="A166:A167"/>
    <mergeCell ref="A168:A172"/>
    <mergeCell ref="A173:A192"/>
    <mergeCell ref="A194:A206"/>
    <mergeCell ref="A207:A208"/>
    <mergeCell ref="A209:A210"/>
    <mergeCell ref="A211:A217"/>
    <mergeCell ref="A219:A223"/>
    <mergeCell ref="A225:A227"/>
    <mergeCell ref="A228:A230"/>
    <mergeCell ref="A233:A234"/>
    <mergeCell ref="A235:A236"/>
    <mergeCell ref="A237:A243"/>
    <mergeCell ref="A244:A245"/>
    <mergeCell ref="A247:A250"/>
    <mergeCell ref="A251:A255"/>
    <mergeCell ref="A256:A265"/>
    <mergeCell ref="A266:A268"/>
    <mergeCell ref="A269:A273"/>
    <mergeCell ref="A274:A275"/>
    <mergeCell ref="A276:A280"/>
    <mergeCell ref="A282:A283"/>
    <mergeCell ref="A287:A289"/>
    <mergeCell ref="A290:A291"/>
    <mergeCell ref="A292:A293"/>
    <mergeCell ref="A294:A312"/>
    <mergeCell ref="A313:A323"/>
    <mergeCell ref="A324:A325"/>
    <mergeCell ref="A326:A327"/>
    <mergeCell ref="A331:A335"/>
  </mergeCells>
  <hyperlinks>
    <hyperlink ref="U45" location="'Loading Protocole'!A20" display="'Loading Protocole'!A20"/>
    <hyperlink ref="U50" location="'Loading Protocole'!A220" display="'Loading Protocole'!A220"/>
    <hyperlink ref="U52" location="'Loading Protocole'!A771" display="'Loading Protocole'!A771"/>
    <hyperlink ref="U101" location="'Loading Protocole'!B686" display="D2I-N-D2I"/>
    <hyperlink ref="U102" location="'Loading Protocole'!B686" display="D2I-N-D2I"/>
    <hyperlink ref="U137" location="'Loading Protocole'!B745" display="D1I-N-D2I"/>
    <hyperlink ref="U150" location="'Loading Protocole'!B520" display="D1I-Y3I"/>
    <hyperlink ref="U154" location="'Loading Protocole'!B454" display="D3C-N-D2I"/>
    <hyperlink ref="U155" location="'Loading Protocole'!B454" display="D2I-N-D2I"/>
    <hyperlink ref="U208" location="'Loading Protocole'!A40" display="'Loading Protocole'!A222"/>
    <hyperlink ref="U209" location="'Loading Protocole'!A40" display="#Loading Protocole.A40"/>
    <hyperlink ref="U210" location="'Loading Protocole'!A40" display="#Loading Protocole.A40"/>
    <hyperlink ref="U231" location="'Loading Protocole'!A60" display="'Loading Protocole'!A60"/>
    <hyperlink ref="U285" location="'Loading Protocole'!B597" display="F1I-N-D3I"/>
    <hyperlink ref="U286" location="'Loading Protocole'!A220" display="'Loading Protocole'!A220"/>
    <hyperlink ref="U326" location="'Loading Protocole'!B556" display="F2I-Y-D2I"/>
    <hyperlink ref="U327" location="'Loading Protocole'!B556" display="F2I-Y-D2I"/>
    <hyperlink ref="U328" location="'Loading Protocole'!A220" display="'Loading Protocole'!A220"/>
    <hyperlink ref="U329" location="'Loading Protocole'!B438" display="F1I-Y-D3I"/>
    <hyperlink ref="U330" location="'Loading Protocole'!A220" display="'Loading Protocole'!A22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2025-09-14T14:13:21Z</dcterms:created>
  <dc:creator>zeynep tuna</dc:creator>
  <dc:description/>
  <dc:language>en-TR</dc:language>
  <cp:lastModifiedBy>Zeynep Deger</cp:lastModifiedBy>
  <dcterms:modified xsi:type="dcterms:W3CDTF">2026-10-30T10:39:16Z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